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Precios fletes" sheetId="2" r:id="rId5"/>
  </sheets>
  <definedNames>
    <definedName hidden="1" localSheetId="0" name="_xlnm._FilterDatabase">Base!$A$1:$I$186</definedName>
    <definedName hidden="1" localSheetId="1" name="_xlnm._FilterDatabase">'Precios fletes'!$A$1:$G$186</definedName>
  </definedNames>
  <calcPr/>
</workbook>
</file>

<file path=xl/sharedStrings.xml><?xml version="1.0" encoding="utf-8"?>
<sst xmlns="http://schemas.openxmlformats.org/spreadsheetml/2006/main" count="934" uniqueCount="232">
  <si>
    <t>POD</t>
  </si>
  <si>
    <t>Puerto de descarga</t>
  </si>
  <si>
    <t>TT</t>
  </si>
  <si>
    <t>Carrier</t>
  </si>
  <si>
    <t>20’</t>
  </si>
  <si>
    <t>Gastos locales</t>
  </si>
  <si>
    <t>40’</t>
  </si>
  <si>
    <t>Validez</t>
  </si>
  <si>
    <t>Abu Dhabi - AEABD</t>
  </si>
  <si>
    <t>MAERSK</t>
  </si>
  <si>
    <t>$620,00</t>
  </si>
  <si>
    <t>$630,00</t>
  </si>
  <si>
    <t>Adelaide (AUADL)</t>
  </si>
  <si>
    <t>Agadir (MAAGA)</t>
  </si>
  <si>
    <t>Alexandria (EGALY)</t>
  </si>
  <si>
    <t>MSC</t>
  </si>
  <si>
    <t>Algeciras (ESALG)</t>
  </si>
  <si>
    <t>CMA</t>
  </si>
  <si>
    <t>Alger (DZALG)</t>
  </si>
  <si>
    <t>HAPAG</t>
  </si>
  <si>
    <t>Ambarli/Istambul - TRIST</t>
  </si>
  <si>
    <t>Amsterdam (NLAMS)</t>
  </si>
  <si>
    <t>Rotterdam</t>
  </si>
  <si>
    <t>Antwerp (BEANR)</t>
  </si>
  <si>
    <t>Apapa (NGAPP)</t>
  </si>
  <si>
    <t>Aqaba - JOAQJ</t>
  </si>
  <si>
    <t>Arica (CLARI)</t>
  </si>
  <si>
    <t>Ashdod - ILASH</t>
  </si>
  <si>
    <t>Atlanta (USATL)</t>
  </si>
  <si>
    <t>Charleston</t>
  </si>
  <si>
    <t>Baltimore (USBAL)</t>
  </si>
  <si>
    <t>Bangkok - THBKK</t>
  </si>
  <si>
    <t>Laem Chabang</t>
  </si>
  <si>
    <t>Barcelona (ESBCN)</t>
  </si>
  <si>
    <t>Baton Rouge (USBTR)</t>
  </si>
  <si>
    <t>New orleans</t>
  </si>
  <si>
    <t>Beirut - LBBEY</t>
  </si>
  <si>
    <t>Belfast</t>
  </si>
  <si>
    <t>1/</t>
  </si>
  <si>
    <t>Bogota (COBOG)</t>
  </si>
  <si>
    <t>Boston (USBOS)</t>
  </si>
  <si>
    <t>Bremerhaven (DEBRV)</t>
  </si>
  <si>
    <t>Brisbane (AUBNE)</t>
  </si>
  <si>
    <t>Bruselas (BEBRU)</t>
  </si>
  <si>
    <t>Antwerp</t>
  </si>
  <si>
    <t>Budapest (HUBUD)</t>
  </si>
  <si>
    <t>Hamburgo</t>
  </si>
  <si>
    <t>NO</t>
  </si>
  <si>
    <t>Busan, KR - KRPUS</t>
  </si>
  <si>
    <t>Calgary (CACAL)</t>
  </si>
  <si>
    <t>Vancouver</t>
  </si>
  <si>
    <t>Callao (PECLL)</t>
  </si>
  <si>
    <t>Caracas (VECCS)</t>
  </si>
  <si>
    <t>La Guaira</t>
  </si>
  <si>
    <t>Cartagena Port  (COCTG)</t>
  </si>
  <si>
    <t>Casablanca (MACAS)</t>
  </si>
  <si>
    <t>Caucedo (DOCAU)</t>
  </si>
  <si>
    <t>Charleston (USCHS)</t>
  </si>
  <si>
    <t>Charlotte (USCLT)</t>
  </si>
  <si>
    <t>Chicago (USCHI)</t>
  </si>
  <si>
    <t>New York</t>
  </si>
  <si>
    <t>cincinnati (USCVG)</t>
  </si>
  <si>
    <t>Norfolk</t>
  </si>
  <si>
    <t>Cleveland (USCLE)</t>
  </si>
  <si>
    <t>Copenhagen (DKCPH)</t>
  </si>
  <si>
    <t>Dakar</t>
  </si>
  <si>
    <t>Dallas (USDAL)</t>
  </si>
  <si>
    <t>Houston</t>
  </si>
  <si>
    <t>Dar Es Salamm (TZDAR)</t>
  </si>
  <si>
    <t>Denver (USDEN)</t>
  </si>
  <si>
    <t>Detroit (USDET)</t>
  </si>
  <si>
    <t>Doha - QADOH</t>
  </si>
  <si>
    <t>Dubai - AEDXB</t>
  </si>
  <si>
    <t>Jebel Ali</t>
  </si>
  <si>
    <t>Dublin (IEDUB)</t>
  </si>
  <si>
    <t>Durban (ZADUR)</t>
  </si>
  <si>
    <t>Edmonton</t>
  </si>
  <si>
    <t>Estocolmo(SESTO)</t>
  </si>
  <si>
    <t>Felixstowe (GBFXT)</t>
  </si>
  <si>
    <t>Fos Sur Mer (FRFOS)</t>
  </si>
  <si>
    <t>Fremantle (AUFRE)</t>
  </si>
  <si>
    <t>Gdansk (PLGDN)</t>
  </si>
  <si>
    <t>Gdynia (PLGDY)</t>
  </si>
  <si>
    <t>Gdansk</t>
  </si>
  <si>
    <t>Geneve (CHGVA)</t>
  </si>
  <si>
    <t>Genoa (ITGOA)</t>
  </si>
  <si>
    <t>Georgetown</t>
  </si>
  <si>
    <t>Grangemouth (GBGRG)</t>
  </si>
  <si>
    <t>Guayaquil (ECQYE)</t>
  </si>
  <si>
    <t>Haifa - ILHFA</t>
  </si>
  <si>
    <t>Hamburg (DEHAM)</t>
  </si>
  <si>
    <t>Hammad Port - QAHMD</t>
  </si>
  <si>
    <t>Hong Kong - HKHKG</t>
  </si>
  <si>
    <t>Houston (USHOU)</t>
  </si>
  <si>
    <t>Hyderabad - INHYD</t>
  </si>
  <si>
    <t>Jawaharlal Nehru</t>
  </si>
  <si>
    <t>Imbituba (BRIBB)</t>
  </si>
  <si>
    <t>Mercosul</t>
  </si>
  <si>
    <t>Inchon (Incheon) - KRINC</t>
  </si>
  <si>
    <t>Itajai (BRITJ)</t>
  </si>
  <si>
    <t>Itapoa (BRIOA)</t>
  </si>
  <si>
    <t>Jacksonville (USJAX)</t>
  </si>
  <si>
    <t>Jakarta - IDJKT</t>
  </si>
  <si>
    <t>Jebel Ali - AEJEA</t>
  </si>
  <si>
    <t>Jeddah - SAJED</t>
  </si>
  <si>
    <t>Johannesburg (ZAJBN)</t>
  </si>
  <si>
    <t>Durban</t>
  </si>
  <si>
    <t>Kansas City (USKCK)</t>
  </si>
  <si>
    <t>Karachi - PKKHI</t>
  </si>
  <si>
    <t>Keelung - TWKEL</t>
  </si>
  <si>
    <t>Klang - MYPKG</t>
  </si>
  <si>
    <t>Koper (SIKOP)</t>
  </si>
  <si>
    <t>La Guaira (VELAG)</t>
  </si>
  <si>
    <t>Le Havre (FRLEH)</t>
  </si>
  <si>
    <t>Lima (PELIM)</t>
  </si>
  <si>
    <t>Callao</t>
  </si>
  <si>
    <t>Lisboa (PTLIS)</t>
  </si>
  <si>
    <t>Liverpool (GBLIV)</t>
  </si>
  <si>
    <t>Livorno (ITLIV)</t>
  </si>
  <si>
    <t>London Gateway (GBLGP)</t>
  </si>
  <si>
    <t>Long Beach (USLGB)</t>
  </si>
  <si>
    <t>Los Angeles (USLAX)</t>
  </si>
  <si>
    <t>Louisiana (USLUA)</t>
  </si>
  <si>
    <t>Louisville</t>
  </si>
  <si>
    <t xml:space="preserve"> Norfolk</t>
  </si>
  <si>
    <t>Luanda (AOLAD)</t>
  </si>
  <si>
    <t>Lyttelton (NZLYT)</t>
  </si>
  <si>
    <t>Madrid (ESMAD)</t>
  </si>
  <si>
    <t>Algeciras</t>
  </si>
  <si>
    <t>MSK</t>
  </si>
  <si>
    <t>Malaga (ESAGP)</t>
  </si>
  <si>
    <t>Managua (NIMGA)</t>
  </si>
  <si>
    <t>Corinto</t>
  </si>
  <si>
    <t>Manaus (BRMAO)</t>
  </si>
  <si>
    <t>Manila - PHMNL</t>
  </si>
  <si>
    <t>Manzanillo (PAMIT)</t>
  </si>
  <si>
    <t>Melbourne (AUMEL)</t>
  </si>
  <si>
    <t>Mexico city (MXMEX)</t>
  </si>
  <si>
    <t>Veracruz</t>
  </si>
  <si>
    <t>Miami FL</t>
  </si>
  <si>
    <t>Minneapolis (USMES)</t>
  </si>
  <si>
    <t>Montevideo (UYMVD)</t>
  </si>
  <si>
    <t>Montoir de Bretagne (FRMTX)</t>
  </si>
  <si>
    <t>Montreal (CAMTR)</t>
  </si>
  <si>
    <t>Muscat - OMMCT</t>
  </si>
  <si>
    <t>Sohar</t>
  </si>
  <si>
    <t>Naples (ITNAP)</t>
  </si>
  <si>
    <t>Navegantes (BRNVT)</t>
  </si>
  <si>
    <t>New Delhi - INDEL</t>
  </si>
  <si>
    <t>Pipavav</t>
  </si>
  <si>
    <t>New Orleans (USMSY)</t>
  </si>
  <si>
    <t>New York (USNYC)</t>
  </si>
  <si>
    <t>Nhava Sheva - INNSA</t>
  </si>
  <si>
    <t>Norfolk (USORF)</t>
  </si>
  <si>
    <t>Oakland (USOAK)</t>
  </si>
  <si>
    <t>Oslo</t>
  </si>
  <si>
    <t>Hamburg</t>
  </si>
  <si>
    <t>Panama city (PAPTY)</t>
  </si>
  <si>
    <t>Manzanillo</t>
  </si>
  <si>
    <t>Paris (FRPAR)</t>
  </si>
  <si>
    <t>Le Havre</t>
  </si>
  <si>
    <t>Pecem (BRPEC)</t>
  </si>
  <si>
    <t>Perth (AUPER)</t>
  </si>
  <si>
    <t>Fremantle</t>
  </si>
  <si>
    <t>Phoenix (USPHX)</t>
  </si>
  <si>
    <t>Los Angeles</t>
  </si>
  <si>
    <t>Piraeus (GRPIR)</t>
  </si>
  <si>
    <t>Pittsburg (USPIT)</t>
  </si>
  <si>
    <t>Port Everglades (USPEF)</t>
  </si>
  <si>
    <t>Port of Spain (TTPOS)</t>
  </si>
  <si>
    <t>Poti - GEPTI</t>
  </si>
  <si>
    <t>Praga (CZPRG)</t>
  </si>
  <si>
    <t>Puerto Limon (CRLIO)</t>
  </si>
  <si>
    <t>Puerto Moin (CRPMN)</t>
  </si>
  <si>
    <t>Quito (ECUIO)</t>
  </si>
  <si>
    <t>Guayaquil</t>
  </si>
  <si>
    <t>Rabat (MARBA)</t>
  </si>
  <si>
    <t>Casablanca</t>
  </si>
  <si>
    <t>Rades (TNRDS)</t>
  </si>
  <si>
    <t>Tunes</t>
  </si>
  <si>
    <t>Regina</t>
  </si>
  <si>
    <t>Rio de Janerio (BRRIO )</t>
  </si>
  <si>
    <t>Rio Grande ( BRRIG)</t>
  </si>
  <si>
    <t>Rio Haina (DOHAI)</t>
  </si>
  <si>
    <t>Roma (ITRMX)</t>
  </si>
  <si>
    <t>Leghorn</t>
  </si>
  <si>
    <t>Rotterdam (NLRTM)</t>
  </si>
  <si>
    <t>Salt Lake City (USSLC)</t>
  </si>
  <si>
    <t>Salvador (BRSSA)</t>
  </si>
  <si>
    <t>San Antonio (CLSAI)</t>
  </si>
  <si>
    <t>San jose CR (CRSJO)</t>
  </si>
  <si>
    <t>Puerto Moin</t>
  </si>
  <si>
    <t>San Juan (PRSJU)</t>
  </si>
  <si>
    <t>Santiago (CLSCL)</t>
  </si>
  <si>
    <t>San Antonio</t>
  </si>
  <si>
    <t>Santo Domingo (DOSDQ)</t>
  </si>
  <si>
    <t>Santos (BRSSZ)</t>
  </si>
  <si>
    <t>Saskatoon</t>
  </si>
  <si>
    <t>Savannah (USSAV)</t>
  </si>
  <si>
    <t>Seatlle (USSEA)</t>
  </si>
  <si>
    <t>Shanghai - CNSHA</t>
  </si>
  <si>
    <t>Shuwaikh Port - KWSWK</t>
  </si>
  <si>
    <t>Sines (PTSIE)</t>
  </si>
  <si>
    <t>Lisboa</t>
  </si>
  <si>
    <t>Singapore - SGSIN</t>
  </si>
  <si>
    <t>Soedertaelje (SESOE)</t>
  </si>
  <si>
    <t>Sohar - OMSOH</t>
  </si>
  <si>
    <t>Southampton (GBSOU)</t>
  </si>
  <si>
    <t>Suape (BRSUA)</t>
  </si>
  <si>
    <t>Sydney (AUSYD)</t>
  </si>
  <si>
    <t>Tacoma (USTIW)</t>
  </si>
  <si>
    <t>Tanger (MAPTM)</t>
  </si>
  <si>
    <t>Tegucigalpa (HNTGU)</t>
  </si>
  <si>
    <t>Puerto Cortes</t>
  </si>
  <si>
    <t>Thessaloniki (GRSKG)</t>
  </si>
  <si>
    <t>Tianjin - CNTXG</t>
  </si>
  <si>
    <t>Toronto (CATOR)</t>
  </si>
  <si>
    <t>Tunes (Tunis) - TUTUN</t>
  </si>
  <si>
    <t>Valencia (ESVLC)</t>
  </si>
  <si>
    <t>Vancouver (CAVAN)</t>
  </si>
  <si>
    <t>Venezia (ITVCE)</t>
  </si>
  <si>
    <t>Veracruz (MXVER)</t>
  </si>
  <si>
    <t>Vienna (ATVIE)</t>
  </si>
  <si>
    <t>Vigo (ESVGO)</t>
  </si>
  <si>
    <t>Willemstad (CWWIL)</t>
  </si>
  <si>
    <t>Winnipeg</t>
  </si>
  <si>
    <t>Montreal</t>
  </si>
  <si>
    <t>Jeddah, Arabia Saudita</t>
  </si>
  <si>
    <t>Zurich (CHZRH)</t>
  </si>
  <si>
    <t>NA</t>
  </si>
  <si>
    <t>$2.630,00</t>
  </si>
  <si>
    <t>$2.795,00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</si>
</sst>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.00"/>
    <numFmt numFmtId="165" formatCode="dd/mm"/>
    <numFmt numFmtId="166" formatCode="&quot;$&quot;#,##0.00"/>
  </numFmts>
  <fonts count="3">
    <font>
      <sz val="10.0"/>
      <color rgb="FF000000"/>
      <name val="Arial"/>
      <scheme val="minor"/>
    </font>
    <font>
      <b/>
      <sz val="12.0"/>
      <color rgb="FFFFFFFF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A64D79"/>
        <bgColor rgb="FFA64D79"/>
      </patternFill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3" fontId="2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5" xfId="0" applyAlignment="1" applyFont="1" applyNumberFormat="1">
      <alignment horizontal="center" readingOrder="0" vertical="center"/>
    </xf>
    <xf borderId="0" fillId="0" fontId="2" numFmtId="4" xfId="0" applyAlignment="1" applyFont="1" applyNumberFormat="1">
      <alignment horizontal="center" readingOrder="0" vertical="center"/>
    </xf>
    <xf borderId="0" fillId="4" fontId="2" numFmtId="0" xfId="0" applyAlignment="1" applyFill="1" applyFont="1">
      <alignment horizontal="center" vertical="bottom"/>
    </xf>
    <xf borderId="0" fillId="5" fontId="2" numFmtId="0" xfId="0" applyAlignment="1" applyFill="1" applyFont="1">
      <alignment horizontal="center" vertical="bottom"/>
    </xf>
    <xf borderId="0" fillId="5" fontId="2" numFmtId="166" xfId="0" applyAlignment="1" applyFont="1" applyNumberFormat="1">
      <alignment horizontal="center" vertical="bottom"/>
    </xf>
    <xf borderId="0" fillId="5" fontId="2" numFmtId="166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/>
    </xf>
    <xf borderId="0" fillId="4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5</v>
      </c>
      <c r="I1" s="1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8</v>
      </c>
      <c r="B2" s="3"/>
      <c r="C2" s="5">
        <v>65.0</v>
      </c>
      <c r="D2" s="5" t="s">
        <v>9</v>
      </c>
      <c r="E2" s="5">
        <v>750.0</v>
      </c>
      <c r="F2" s="5" t="s">
        <v>10</v>
      </c>
      <c r="G2" s="5">
        <v>950.0</v>
      </c>
      <c r="H2" s="5" t="s">
        <v>11</v>
      </c>
      <c r="I2" s="6">
        <v>45876.0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 t="s">
        <v>12</v>
      </c>
      <c r="B3" s="3"/>
      <c r="C3" s="5">
        <v>66.0</v>
      </c>
      <c r="D3" s="5" t="s">
        <v>9</v>
      </c>
      <c r="E3" s="7">
        <v>1150.0</v>
      </c>
      <c r="F3" s="5" t="s">
        <v>10</v>
      </c>
      <c r="G3" s="5">
        <v>950.0</v>
      </c>
      <c r="H3" s="5" t="s">
        <v>11</v>
      </c>
      <c r="I3" s="6">
        <v>45876.0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 t="s">
        <v>13</v>
      </c>
      <c r="B4" s="3"/>
      <c r="C4" s="5">
        <v>40.0</v>
      </c>
      <c r="D4" s="5" t="s">
        <v>9</v>
      </c>
      <c r="E4" s="5">
        <v>950.0</v>
      </c>
      <c r="F4" s="5" t="s">
        <v>10</v>
      </c>
      <c r="G4" s="7">
        <v>1000.0</v>
      </c>
      <c r="H4" s="5" t="s">
        <v>10</v>
      </c>
      <c r="I4" s="6">
        <v>45876.0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4" t="s">
        <v>14</v>
      </c>
      <c r="B5" s="3"/>
      <c r="C5" s="5">
        <v>50.0</v>
      </c>
      <c r="D5" s="5" t="s">
        <v>15</v>
      </c>
      <c r="E5" s="7">
        <v>3650.0</v>
      </c>
      <c r="F5" s="5" t="s">
        <v>10</v>
      </c>
      <c r="G5" s="7">
        <v>4800.0</v>
      </c>
      <c r="H5" s="5" t="s">
        <v>11</v>
      </c>
      <c r="I5" s="6">
        <v>45876.0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4" t="s">
        <v>16</v>
      </c>
      <c r="B6" s="3"/>
      <c r="C6" s="5">
        <v>30.0</v>
      </c>
      <c r="D6" s="5" t="s">
        <v>17</v>
      </c>
      <c r="E6" s="7">
        <v>1050.0</v>
      </c>
      <c r="F6" s="5" t="s">
        <v>10</v>
      </c>
      <c r="G6" s="7">
        <v>1250.0</v>
      </c>
      <c r="H6" s="5" t="s">
        <v>11</v>
      </c>
      <c r="I6" s="6">
        <v>45876.0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4" t="s">
        <v>18</v>
      </c>
      <c r="B7" s="3"/>
      <c r="C7" s="5">
        <v>57.0</v>
      </c>
      <c r="D7" s="5" t="s">
        <v>19</v>
      </c>
      <c r="E7" s="7">
        <v>1750.0</v>
      </c>
      <c r="F7" s="5" t="s">
        <v>10</v>
      </c>
      <c r="G7" s="7">
        <v>2050.0</v>
      </c>
      <c r="H7" s="5" t="s">
        <v>11</v>
      </c>
      <c r="I7" s="6">
        <v>45876.0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 t="s">
        <v>20</v>
      </c>
      <c r="B8" s="3"/>
      <c r="C8" s="5">
        <v>54.0</v>
      </c>
      <c r="D8" s="5" t="s">
        <v>19</v>
      </c>
      <c r="E8" s="7">
        <v>1050.0</v>
      </c>
      <c r="F8" s="5" t="s">
        <v>10</v>
      </c>
      <c r="G8" s="7">
        <v>1450.0</v>
      </c>
      <c r="H8" s="5" t="s">
        <v>11</v>
      </c>
      <c r="I8" s="6">
        <v>45876.0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4" t="s">
        <v>21</v>
      </c>
      <c r="B9" s="5" t="s">
        <v>22</v>
      </c>
      <c r="C9" s="5">
        <v>31.0</v>
      </c>
      <c r="D9" s="5" t="s">
        <v>9</v>
      </c>
      <c r="E9" s="7">
        <v>1350.0</v>
      </c>
      <c r="F9" s="5" t="s">
        <v>10</v>
      </c>
      <c r="G9" s="7">
        <v>1450.0</v>
      </c>
      <c r="H9" s="5" t="s">
        <v>11</v>
      </c>
      <c r="I9" s="6">
        <v>45876.0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4" t="s">
        <v>23</v>
      </c>
      <c r="B10" s="3"/>
      <c r="C10" s="5">
        <v>47.0</v>
      </c>
      <c r="D10" s="5" t="s">
        <v>19</v>
      </c>
      <c r="E10" s="7">
        <v>1100.0</v>
      </c>
      <c r="F10" s="5" t="s">
        <v>10</v>
      </c>
      <c r="G10" s="7">
        <v>1150.0</v>
      </c>
      <c r="H10" s="5" t="s">
        <v>11</v>
      </c>
      <c r="I10" s="6">
        <v>45876.0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4" t="s">
        <v>23</v>
      </c>
      <c r="B11" s="3"/>
      <c r="C11" s="5">
        <v>36.0</v>
      </c>
      <c r="D11" s="5" t="s">
        <v>9</v>
      </c>
      <c r="E11" s="7">
        <v>1100.0</v>
      </c>
      <c r="F11" s="5" t="s">
        <v>10</v>
      </c>
      <c r="G11" s="5">
        <v>950.0</v>
      </c>
      <c r="H11" s="5" t="s">
        <v>11</v>
      </c>
      <c r="I11" s="6">
        <v>45876.0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4" t="s">
        <v>24</v>
      </c>
      <c r="B12" s="3"/>
      <c r="C12" s="5">
        <v>47.0</v>
      </c>
      <c r="D12" s="5" t="s">
        <v>15</v>
      </c>
      <c r="E12" s="7">
        <v>3350.0</v>
      </c>
      <c r="F12" s="5" t="s">
        <v>10</v>
      </c>
      <c r="G12" s="7">
        <v>4300.0</v>
      </c>
      <c r="H12" s="5" t="s">
        <v>11</v>
      </c>
      <c r="I12" s="6">
        <v>45876.0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4" t="s">
        <v>25</v>
      </c>
      <c r="B13" s="3"/>
      <c r="C13" s="5">
        <v>62.0</v>
      </c>
      <c r="D13" s="5" t="s">
        <v>15</v>
      </c>
      <c r="E13" s="7">
        <v>3850.0</v>
      </c>
      <c r="F13" s="5" t="s">
        <v>10</v>
      </c>
      <c r="G13" s="7">
        <v>5850.0</v>
      </c>
      <c r="H13" s="5" t="s">
        <v>11</v>
      </c>
      <c r="I13" s="6">
        <v>45876.0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4" t="s">
        <v>26</v>
      </c>
      <c r="B14" s="3"/>
      <c r="C14" s="5">
        <v>40.0</v>
      </c>
      <c r="D14" s="5" t="s">
        <v>9</v>
      </c>
      <c r="E14" s="7">
        <v>3050.0</v>
      </c>
      <c r="F14" s="5" t="s">
        <v>10</v>
      </c>
      <c r="G14" s="7">
        <v>3350.0</v>
      </c>
      <c r="H14" s="5" t="s">
        <v>11</v>
      </c>
      <c r="I14" s="6">
        <v>45876.0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4" t="s">
        <v>27</v>
      </c>
      <c r="B15" s="3"/>
      <c r="C15" s="5">
        <v>50.0</v>
      </c>
      <c r="D15" s="5" t="s">
        <v>9</v>
      </c>
      <c r="E15" s="5">
        <v>700.0</v>
      </c>
      <c r="F15" s="5" t="s">
        <v>10</v>
      </c>
      <c r="G15" s="5">
        <v>750.0</v>
      </c>
      <c r="H15" s="5" t="s">
        <v>11</v>
      </c>
      <c r="I15" s="6">
        <v>45876.0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4" t="s">
        <v>28</v>
      </c>
      <c r="B16" s="5" t="s">
        <v>29</v>
      </c>
      <c r="C16" s="5">
        <v>42.0</v>
      </c>
      <c r="D16" s="5" t="s">
        <v>17</v>
      </c>
      <c r="E16" s="7">
        <v>4950.0</v>
      </c>
      <c r="F16" s="5" t="s">
        <v>10</v>
      </c>
      <c r="G16" s="7">
        <v>5100.0</v>
      </c>
      <c r="H16" s="5" t="s">
        <v>11</v>
      </c>
      <c r="I16" s="6">
        <v>45876.0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4" t="s">
        <v>30</v>
      </c>
      <c r="B17" s="3"/>
      <c r="C17" s="5">
        <v>37.0</v>
      </c>
      <c r="D17" s="5" t="s">
        <v>17</v>
      </c>
      <c r="E17" s="7">
        <v>4000.0</v>
      </c>
      <c r="F17" s="5" t="s">
        <v>10</v>
      </c>
      <c r="G17" s="7">
        <v>4400.0</v>
      </c>
      <c r="H17" s="5" t="s">
        <v>11</v>
      </c>
      <c r="I17" s="6">
        <v>45876.0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4" t="s">
        <v>31</v>
      </c>
      <c r="B18" s="5" t="s">
        <v>32</v>
      </c>
      <c r="C18" s="5">
        <v>47.0</v>
      </c>
      <c r="D18" s="5" t="s">
        <v>9</v>
      </c>
      <c r="E18" s="7">
        <v>1000.0</v>
      </c>
      <c r="F18" s="5" t="s">
        <v>10</v>
      </c>
      <c r="G18" s="5">
        <v>950.0</v>
      </c>
      <c r="H18" s="5" t="s">
        <v>11</v>
      </c>
      <c r="I18" s="6">
        <v>45876.0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4" t="s">
        <v>33</v>
      </c>
      <c r="B19" s="3"/>
      <c r="C19" s="5">
        <v>32.0</v>
      </c>
      <c r="D19" s="5" t="s">
        <v>9</v>
      </c>
      <c r="E19" s="7">
        <v>1200.0</v>
      </c>
      <c r="F19" s="5" t="s">
        <v>10</v>
      </c>
      <c r="G19" s="5">
        <v>800.0</v>
      </c>
      <c r="H19" s="5" t="s">
        <v>11</v>
      </c>
      <c r="I19" s="6">
        <v>45876.0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4" t="s">
        <v>34</v>
      </c>
      <c r="B20" s="5" t="s">
        <v>35</v>
      </c>
      <c r="C20" s="5">
        <v>43.0</v>
      </c>
      <c r="D20" s="5" t="s">
        <v>19</v>
      </c>
      <c r="E20" s="7">
        <v>4300.0</v>
      </c>
      <c r="F20" s="5" t="s">
        <v>10</v>
      </c>
      <c r="G20" s="7">
        <v>4300.0</v>
      </c>
      <c r="H20" s="5" t="s">
        <v>11</v>
      </c>
      <c r="I20" s="6">
        <v>45876.0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4" t="s">
        <v>36</v>
      </c>
      <c r="B21" s="3"/>
      <c r="C21" s="5">
        <v>53.0</v>
      </c>
      <c r="D21" s="5" t="s">
        <v>19</v>
      </c>
      <c r="E21" s="7">
        <v>2000.0</v>
      </c>
      <c r="F21" s="5" t="s">
        <v>10</v>
      </c>
      <c r="G21" s="7">
        <v>2300.0</v>
      </c>
      <c r="H21" s="5" t="s">
        <v>11</v>
      </c>
      <c r="I21" s="6">
        <v>45876.0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4" t="s">
        <v>37</v>
      </c>
      <c r="B22" s="3"/>
      <c r="C22" s="5">
        <v>44.0</v>
      </c>
      <c r="D22" s="5" t="s">
        <v>17</v>
      </c>
      <c r="E22" s="7">
        <v>2250.0</v>
      </c>
      <c r="F22" s="5">
        <v>620.0</v>
      </c>
      <c r="G22" s="7">
        <v>2450.0</v>
      </c>
      <c r="H22" s="5">
        <v>630.0</v>
      </c>
      <c r="I22" s="5" t="s">
        <v>38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4" t="s">
        <v>39</v>
      </c>
      <c r="B23" s="3"/>
      <c r="C23" s="5">
        <v>30.0</v>
      </c>
      <c r="D23" s="5" t="s">
        <v>9</v>
      </c>
      <c r="E23" s="7">
        <v>4050.0</v>
      </c>
      <c r="F23" s="5" t="s">
        <v>10</v>
      </c>
      <c r="G23" s="7">
        <v>4350.0</v>
      </c>
      <c r="H23" s="5" t="s">
        <v>11</v>
      </c>
      <c r="I23" s="6">
        <v>45876.0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4" t="s">
        <v>40</v>
      </c>
      <c r="B24" s="3"/>
      <c r="C24" s="5">
        <v>60.0</v>
      </c>
      <c r="D24" s="5" t="s">
        <v>15</v>
      </c>
      <c r="E24" s="7">
        <v>4000.0</v>
      </c>
      <c r="F24" s="5" t="s">
        <v>10</v>
      </c>
      <c r="G24" s="7">
        <v>4850.0</v>
      </c>
      <c r="H24" s="5" t="s">
        <v>11</v>
      </c>
      <c r="I24" s="6">
        <v>45876.0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4" t="s">
        <v>41</v>
      </c>
      <c r="B25" s="3"/>
      <c r="C25" s="5">
        <v>33.0</v>
      </c>
      <c r="D25" s="5" t="s">
        <v>9</v>
      </c>
      <c r="E25" s="7">
        <v>1100.0</v>
      </c>
      <c r="F25" s="5" t="s">
        <v>10</v>
      </c>
      <c r="G25" s="5">
        <v>950.0</v>
      </c>
      <c r="H25" s="5" t="s">
        <v>11</v>
      </c>
      <c r="I25" s="6">
        <v>45876.0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4" t="s">
        <v>42</v>
      </c>
      <c r="B26" s="3"/>
      <c r="C26" s="5">
        <v>52.0</v>
      </c>
      <c r="D26" s="5" t="s">
        <v>9</v>
      </c>
      <c r="E26" s="7">
        <v>1400.0</v>
      </c>
      <c r="F26" s="5" t="s">
        <v>10</v>
      </c>
      <c r="G26" s="7">
        <v>1800.0</v>
      </c>
      <c r="H26" s="5" t="s">
        <v>11</v>
      </c>
      <c r="I26" s="6">
        <v>45876.0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4" t="s">
        <v>43</v>
      </c>
      <c r="B27" s="5" t="s">
        <v>44</v>
      </c>
      <c r="C27" s="5">
        <v>37.0</v>
      </c>
      <c r="D27" s="5" t="s">
        <v>17</v>
      </c>
      <c r="E27" s="7">
        <v>1800.0</v>
      </c>
      <c r="F27" s="5" t="s">
        <v>10</v>
      </c>
      <c r="G27" s="7">
        <v>2050.0</v>
      </c>
      <c r="H27" s="5" t="s">
        <v>11</v>
      </c>
      <c r="I27" s="6">
        <v>45876.0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4" t="s">
        <v>45</v>
      </c>
      <c r="B28" s="5" t="s">
        <v>46</v>
      </c>
      <c r="C28" s="5">
        <v>48.0</v>
      </c>
      <c r="D28" s="5" t="s">
        <v>19</v>
      </c>
      <c r="E28" s="7">
        <v>1850.0</v>
      </c>
      <c r="F28" s="5" t="s">
        <v>10</v>
      </c>
      <c r="G28" s="7">
        <v>3050.0</v>
      </c>
      <c r="H28" s="5" t="s">
        <v>11</v>
      </c>
      <c r="I28" s="6">
        <v>45876.0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4" t="s">
        <v>45</v>
      </c>
      <c r="B29" s="5" t="s">
        <v>46</v>
      </c>
      <c r="C29" s="5">
        <v>30.0</v>
      </c>
      <c r="D29" s="5" t="s">
        <v>17</v>
      </c>
      <c r="E29" s="5" t="s">
        <v>47</v>
      </c>
      <c r="F29" s="5" t="s">
        <v>10</v>
      </c>
      <c r="G29" s="7">
        <v>2600.0</v>
      </c>
      <c r="H29" s="5" t="s">
        <v>11</v>
      </c>
      <c r="I29" s="6">
        <v>45876.0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4" t="s">
        <v>48</v>
      </c>
      <c r="B30" s="3"/>
      <c r="C30" s="5">
        <v>48.0</v>
      </c>
      <c r="D30" s="5" t="s">
        <v>9</v>
      </c>
      <c r="E30" s="5">
        <v>950.0</v>
      </c>
      <c r="F30" s="5" t="s">
        <v>10</v>
      </c>
      <c r="G30" s="5">
        <v>900.0</v>
      </c>
      <c r="H30" s="5" t="s">
        <v>11</v>
      </c>
      <c r="I30" s="6">
        <v>45876.0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4" t="s">
        <v>49</v>
      </c>
      <c r="B31" s="5" t="s">
        <v>50</v>
      </c>
      <c r="C31" s="5">
        <v>72.0</v>
      </c>
      <c r="D31" s="5" t="s">
        <v>17</v>
      </c>
      <c r="E31" s="7">
        <v>5200.0</v>
      </c>
      <c r="F31" s="5" t="s">
        <v>10</v>
      </c>
      <c r="G31" s="7">
        <v>6700.0</v>
      </c>
      <c r="H31" s="5" t="s">
        <v>11</v>
      </c>
      <c r="I31" s="6">
        <v>45876.0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4" t="s">
        <v>49</v>
      </c>
      <c r="B32" s="5" t="s">
        <v>50</v>
      </c>
      <c r="C32" s="5">
        <v>62.0</v>
      </c>
      <c r="D32" s="5" t="s">
        <v>15</v>
      </c>
      <c r="E32" s="7">
        <v>5650.0</v>
      </c>
      <c r="F32" s="5" t="s">
        <v>10</v>
      </c>
      <c r="G32" s="7">
        <v>6100.0</v>
      </c>
      <c r="H32" s="5" t="s">
        <v>11</v>
      </c>
      <c r="I32" s="6">
        <v>45876.0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4" t="s">
        <v>51</v>
      </c>
      <c r="B33" s="3"/>
      <c r="C33" s="5">
        <v>24.0</v>
      </c>
      <c r="D33" s="5" t="s">
        <v>19</v>
      </c>
      <c r="E33" s="7">
        <v>2650.0</v>
      </c>
      <c r="F33" s="5" t="s">
        <v>10</v>
      </c>
      <c r="G33" s="7">
        <v>3050.0</v>
      </c>
      <c r="H33" s="5" t="s">
        <v>11</v>
      </c>
      <c r="I33" s="6">
        <v>45876.0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4" t="s">
        <v>52</v>
      </c>
      <c r="B34" s="5" t="s">
        <v>53</v>
      </c>
      <c r="C34" s="5">
        <v>35.0</v>
      </c>
      <c r="D34" s="5" t="s">
        <v>9</v>
      </c>
      <c r="E34" s="7">
        <v>3650.0</v>
      </c>
      <c r="F34" s="5" t="s">
        <v>10</v>
      </c>
      <c r="G34" s="7">
        <v>4200.0</v>
      </c>
      <c r="H34" s="5" t="s">
        <v>11</v>
      </c>
      <c r="I34" s="6">
        <v>45876.0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4" t="s">
        <v>54</v>
      </c>
      <c r="B35" s="3"/>
      <c r="C35" s="5">
        <v>25.0</v>
      </c>
      <c r="D35" s="5" t="s">
        <v>9</v>
      </c>
      <c r="E35" s="7">
        <v>2400.0</v>
      </c>
      <c r="F35" s="5" t="s">
        <v>10</v>
      </c>
      <c r="G35" s="7">
        <v>2700.0</v>
      </c>
      <c r="H35" s="5" t="s">
        <v>11</v>
      </c>
      <c r="I35" s="6">
        <v>45876.0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4" t="s">
        <v>55</v>
      </c>
      <c r="B36" s="3"/>
      <c r="C36" s="5">
        <v>55.0</v>
      </c>
      <c r="D36" s="5" t="s">
        <v>19</v>
      </c>
      <c r="E36" s="7">
        <v>1200.0</v>
      </c>
      <c r="F36" s="5" t="s">
        <v>10</v>
      </c>
      <c r="G36" s="7">
        <v>1650.0</v>
      </c>
      <c r="H36" s="5" t="s">
        <v>11</v>
      </c>
      <c r="I36" s="6">
        <v>45876.0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4" t="s">
        <v>56</v>
      </c>
      <c r="B37" s="3"/>
      <c r="C37" s="5">
        <v>33.0</v>
      </c>
      <c r="D37" s="5" t="s">
        <v>9</v>
      </c>
      <c r="E37" s="7">
        <v>2550.0</v>
      </c>
      <c r="F37" s="5" t="s">
        <v>10</v>
      </c>
      <c r="G37" s="7">
        <v>2850.0</v>
      </c>
      <c r="H37" s="5" t="s">
        <v>11</v>
      </c>
      <c r="I37" s="6">
        <v>45876.0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4" t="s">
        <v>57</v>
      </c>
      <c r="B38" s="3"/>
      <c r="C38" s="5">
        <v>42.0</v>
      </c>
      <c r="D38" s="5" t="s">
        <v>17</v>
      </c>
      <c r="E38" s="7">
        <v>4000.0</v>
      </c>
      <c r="F38" s="5" t="s">
        <v>10</v>
      </c>
      <c r="G38" s="7">
        <v>4150.0</v>
      </c>
      <c r="H38" s="5" t="s">
        <v>11</v>
      </c>
      <c r="I38" s="6">
        <v>45876.0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4" t="s">
        <v>58</v>
      </c>
      <c r="B39" s="5" t="s">
        <v>29</v>
      </c>
      <c r="C39" s="5">
        <v>42.0</v>
      </c>
      <c r="D39" s="5" t="s">
        <v>17</v>
      </c>
      <c r="E39" s="7">
        <v>5000.0</v>
      </c>
      <c r="F39" s="5" t="s">
        <v>10</v>
      </c>
      <c r="G39" s="7">
        <v>5050.0</v>
      </c>
      <c r="H39" s="5" t="s">
        <v>11</v>
      </c>
      <c r="I39" s="6">
        <v>45876.0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4" t="s">
        <v>59</v>
      </c>
      <c r="B40" s="5" t="s">
        <v>60</v>
      </c>
      <c r="C40" s="5">
        <v>31.0</v>
      </c>
      <c r="D40" s="5" t="s">
        <v>19</v>
      </c>
      <c r="E40" s="7">
        <v>5050.0</v>
      </c>
      <c r="F40" s="5" t="s">
        <v>10</v>
      </c>
      <c r="G40" s="7">
        <v>5600.0</v>
      </c>
      <c r="H40" s="5" t="s">
        <v>11</v>
      </c>
      <c r="I40" s="6">
        <v>45876.0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4" t="s">
        <v>61</v>
      </c>
      <c r="B41" s="5" t="s">
        <v>62</v>
      </c>
      <c r="C41" s="5">
        <v>47.0</v>
      </c>
      <c r="D41" s="5" t="s">
        <v>19</v>
      </c>
      <c r="E41" s="7">
        <v>5700.0</v>
      </c>
      <c r="F41" s="5" t="s">
        <v>10</v>
      </c>
      <c r="G41" s="7">
        <v>5750.0</v>
      </c>
      <c r="H41" s="5" t="s">
        <v>11</v>
      </c>
      <c r="I41" s="6">
        <v>45876.0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4" t="s">
        <v>63</v>
      </c>
      <c r="B42" s="5" t="s">
        <v>60</v>
      </c>
      <c r="C42" s="5">
        <v>40.0</v>
      </c>
      <c r="D42" s="5" t="s">
        <v>17</v>
      </c>
      <c r="E42" s="7">
        <v>5250.0</v>
      </c>
      <c r="F42" s="5" t="s">
        <v>10</v>
      </c>
      <c r="G42" s="7">
        <v>5750.0</v>
      </c>
      <c r="H42" s="5" t="s">
        <v>11</v>
      </c>
      <c r="I42" s="6">
        <v>45876.0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4" t="s">
        <v>64</v>
      </c>
      <c r="B43" s="3"/>
      <c r="C43" s="5">
        <v>35.0</v>
      </c>
      <c r="D43" s="5" t="s">
        <v>17</v>
      </c>
      <c r="E43" s="5" t="s">
        <v>47</v>
      </c>
      <c r="F43" s="5" t="s">
        <v>10</v>
      </c>
      <c r="G43" s="7">
        <v>2200.0</v>
      </c>
      <c r="H43" s="5" t="s">
        <v>11</v>
      </c>
      <c r="I43" s="6">
        <v>45876.0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4" t="s">
        <v>64</v>
      </c>
      <c r="B44" s="3"/>
      <c r="C44" s="5">
        <v>51.0</v>
      </c>
      <c r="D44" s="5" t="s">
        <v>19</v>
      </c>
      <c r="E44" s="7">
        <v>1500.0</v>
      </c>
      <c r="F44" s="5" t="s">
        <v>10</v>
      </c>
      <c r="G44" s="7">
        <v>2550.0</v>
      </c>
      <c r="H44" s="5" t="s">
        <v>11</v>
      </c>
      <c r="I44" s="6">
        <v>45876.0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4" t="s">
        <v>65</v>
      </c>
      <c r="B45" s="3"/>
      <c r="C45" s="5">
        <v>30.0</v>
      </c>
      <c r="D45" s="5" t="s">
        <v>17</v>
      </c>
      <c r="E45" s="7">
        <v>2150.0</v>
      </c>
      <c r="F45" s="5" t="s">
        <v>10</v>
      </c>
      <c r="G45" s="7">
        <v>3100.0</v>
      </c>
      <c r="H45" s="5" t="s">
        <v>11</v>
      </c>
      <c r="I45" s="6">
        <v>45876.0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4" t="s">
        <v>66</v>
      </c>
      <c r="B46" s="5" t="s">
        <v>67</v>
      </c>
      <c r="C46" s="5">
        <v>44.0</v>
      </c>
      <c r="D46" s="5" t="s">
        <v>19</v>
      </c>
      <c r="E46" s="7">
        <v>4250.0</v>
      </c>
      <c r="F46" s="5" t="s">
        <v>10</v>
      </c>
      <c r="G46" s="7">
        <v>4500.0</v>
      </c>
      <c r="H46" s="5" t="s">
        <v>11</v>
      </c>
      <c r="I46" s="6">
        <v>45876.0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4" t="s">
        <v>68</v>
      </c>
      <c r="B47" s="3"/>
      <c r="C47" s="5">
        <v>62.0</v>
      </c>
      <c r="D47" s="5" t="s">
        <v>9</v>
      </c>
      <c r="E47" s="7">
        <v>3950.0</v>
      </c>
      <c r="F47" s="5" t="s">
        <v>10</v>
      </c>
      <c r="G47" s="7">
        <v>4600.0</v>
      </c>
      <c r="H47" s="5" t="s">
        <v>10</v>
      </c>
      <c r="I47" s="6">
        <v>45876.0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4" t="s">
        <v>69</v>
      </c>
      <c r="B48" s="5" t="s">
        <v>67</v>
      </c>
      <c r="C48" s="5">
        <v>47.0</v>
      </c>
      <c r="D48" s="5" t="s">
        <v>19</v>
      </c>
      <c r="E48" s="7">
        <v>5650.0</v>
      </c>
      <c r="F48" s="5" t="s">
        <v>10</v>
      </c>
      <c r="G48" s="7">
        <v>6000.0</v>
      </c>
      <c r="H48" s="5" t="s">
        <v>11</v>
      </c>
      <c r="I48" s="6">
        <v>45876.0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4" t="s">
        <v>70</v>
      </c>
      <c r="B49" s="5" t="s">
        <v>62</v>
      </c>
      <c r="C49" s="5">
        <v>49.0</v>
      </c>
      <c r="D49" s="5" t="s">
        <v>19</v>
      </c>
      <c r="E49" s="7">
        <v>6600.0</v>
      </c>
      <c r="F49" s="5" t="s">
        <v>10</v>
      </c>
      <c r="G49" s="7">
        <v>6750.0</v>
      </c>
      <c r="H49" s="5" t="s">
        <v>11</v>
      </c>
      <c r="I49" s="6">
        <v>45876.0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4" t="s">
        <v>71</v>
      </c>
      <c r="B50" s="3"/>
      <c r="C50" s="5">
        <v>56.0</v>
      </c>
      <c r="D50" s="5" t="s">
        <v>9</v>
      </c>
      <c r="E50" s="7">
        <v>1700.0</v>
      </c>
      <c r="F50" s="5" t="s">
        <v>10</v>
      </c>
      <c r="G50" s="7">
        <v>1350.0</v>
      </c>
      <c r="H50" s="5" t="s">
        <v>11</v>
      </c>
      <c r="I50" s="6">
        <v>45876.0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4" t="s">
        <v>72</v>
      </c>
      <c r="B51" s="5" t="s">
        <v>73</v>
      </c>
      <c r="C51" s="5">
        <v>55.0</v>
      </c>
      <c r="D51" s="5" t="s">
        <v>9</v>
      </c>
      <c r="E51" s="7">
        <v>1900.0</v>
      </c>
      <c r="F51" s="5" t="s">
        <v>10</v>
      </c>
      <c r="G51" s="7">
        <v>1400.0</v>
      </c>
      <c r="H51" s="5" t="s">
        <v>11</v>
      </c>
      <c r="I51" s="6">
        <v>45876.0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4" t="s">
        <v>74</v>
      </c>
      <c r="B52" s="3"/>
      <c r="C52" s="5">
        <v>30.0</v>
      </c>
      <c r="D52" s="5" t="s">
        <v>9</v>
      </c>
      <c r="E52" s="7">
        <v>1200.0</v>
      </c>
      <c r="F52" s="5" t="s">
        <v>10</v>
      </c>
      <c r="G52" s="7">
        <v>1500.0</v>
      </c>
      <c r="H52" s="5" t="s">
        <v>11</v>
      </c>
      <c r="I52" s="6">
        <v>45876.0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4" t="s">
        <v>75</v>
      </c>
      <c r="B53" s="3"/>
      <c r="C53" s="5">
        <v>26.0</v>
      </c>
      <c r="D53" s="5" t="s">
        <v>9</v>
      </c>
      <c r="E53" s="7">
        <v>1600.0</v>
      </c>
      <c r="F53" s="5" t="s">
        <v>10</v>
      </c>
      <c r="G53" s="7">
        <v>1500.0</v>
      </c>
      <c r="H53" s="5" t="s">
        <v>11</v>
      </c>
      <c r="I53" s="6">
        <v>45876.0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4" t="s">
        <v>76</v>
      </c>
      <c r="B54" s="5" t="s">
        <v>50</v>
      </c>
      <c r="C54" s="5">
        <v>64.0</v>
      </c>
      <c r="D54" s="5" t="s">
        <v>15</v>
      </c>
      <c r="E54" s="7">
        <v>5800.0</v>
      </c>
      <c r="F54" s="5" t="s">
        <v>10</v>
      </c>
      <c r="G54" s="7">
        <v>6600.0</v>
      </c>
      <c r="H54" s="5" t="s">
        <v>11</v>
      </c>
      <c r="I54" s="6">
        <v>45876.0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4" t="s">
        <v>77</v>
      </c>
      <c r="B55" s="3"/>
      <c r="C55" s="5">
        <v>35.0</v>
      </c>
      <c r="D55" s="5" t="s">
        <v>17</v>
      </c>
      <c r="E55" s="7">
        <v>2500.0</v>
      </c>
      <c r="F55" s="5" t="s">
        <v>10</v>
      </c>
      <c r="G55" s="7">
        <v>2600.0</v>
      </c>
      <c r="H55" s="5" t="s">
        <v>11</v>
      </c>
      <c r="I55" s="6">
        <v>45876.0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4" t="s">
        <v>78</v>
      </c>
      <c r="B56" s="3"/>
      <c r="C56" s="5">
        <v>71.0</v>
      </c>
      <c r="D56" s="5" t="s">
        <v>19</v>
      </c>
      <c r="E56" s="7">
        <v>2150.0</v>
      </c>
      <c r="F56" s="5" t="s">
        <v>10</v>
      </c>
      <c r="G56" s="7">
        <v>3000.0</v>
      </c>
      <c r="H56" s="5" t="s">
        <v>11</v>
      </c>
      <c r="I56" s="6">
        <v>45876.0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4" t="s">
        <v>78</v>
      </c>
      <c r="B57" s="3"/>
      <c r="C57" s="5">
        <v>45.0</v>
      </c>
      <c r="D57" s="5" t="s">
        <v>15</v>
      </c>
      <c r="E57" s="7">
        <v>2800.0</v>
      </c>
      <c r="F57" s="5" t="s">
        <v>10</v>
      </c>
      <c r="G57" s="7">
        <v>3700.0</v>
      </c>
      <c r="H57" s="5" t="s">
        <v>11</v>
      </c>
      <c r="I57" s="6">
        <v>45876.0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4" t="s">
        <v>79</v>
      </c>
      <c r="B58" s="3"/>
      <c r="C58" s="5">
        <v>51.0</v>
      </c>
      <c r="D58" s="5" t="s">
        <v>19</v>
      </c>
      <c r="E58" s="7">
        <v>1450.0</v>
      </c>
      <c r="F58" s="5" t="s">
        <v>10</v>
      </c>
      <c r="G58" s="7">
        <v>1850.0</v>
      </c>
      <c r="H58" s="5" t="s">
        <v>11</v>
      </c>
      <c r="I58" s="6">
        <v>45876.0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4" t="s">
        <v>80</v>
      </c>
      <c r="B59" s="3"/>
      <c r="C59" s="5">
        <v>44.0</v>
      </c>
      <c r="D59" s="5" t="s">
        <v>9</v>
      </c>
      <c r="E59" s="7">
        <v>1450.0</v>
      </c>
      <c r="F59" s="5" t="s">
        <v>10</v>
      </c>
      <c r="G59" s="7">
        <v>1700.0</v>
      </c>
      <c r="H59" s="5" t="s">
        <v>11</v>
      </c>
      <c r="I59" s="6">
        <v>45876.0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4" t="s">
        <v>81</v>
      </c>
      <c r="B60" s="3"/>
      <c r="C60" s="5">
        <v>43.0</v>
      </c>
      <c r="D60" s="5" t="s">
        <v>9</v>
      </c>
      <c r="E60" s="5">
        <v>850.0</v>
      </c>
      <c r="F60" s="5" t="s">
        <v>10</v>
      </c>
      <c r="G60" s="7">
        <v>1150.0</v>
      </c>
      <c r="H60" s="5" t="s">
        <v>11</v>
      </c>
      <c r="I60" s="6">
        <v>45876.0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4" t="s">
        <v>82</v>
      </c>
      <c r="B61" s="5" t="s">
        <v>83</v>
      </c>
      <c r="C61" s="5">
        <v>46.0</v>
      </c>
      <c r="D61" s="5" t="s">
        <v>9</v>
      </c>
      <c r="E61" s="7">
        <v>1150.0</v>
      </c>
      <c r="F61" s="5" t="s">
        <v>10</v>
      </c>
      <c r="G61" s="7">
        <v>1500.0</v>
      </c>
      <c r="H61" s="5" t="s">
        <v>11</v>
      </c>
      <c r="I61" s="6">
        <v>45876.0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4" t="s">
        <v>84</v>
      </c>
      <c r="B62" s="5" t="s">
        <v>44</v>
      </c>
      <c r="C62" s="5">
        <v>44.0</v>
      </c>
      <c r="D62" s="5" t="s">
        <v>19</v>
      </c>
      <c r="E62" s="7">
        <v>3450.0</v>
      </c>
      <c r="F62" s="5" t="s">
        <v>10</v>
      </c>
      <c r="G62" s="7">
        <v>3850.0</v>
      </c>
      <c r="H62" s="5" t="s">
        <v>11</v>
      </c>
      <c r="I62" s="6">
        <v>45876.0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4" t="s">
        <v>85</v>
      </c>
      <c r="B63" s="3"/>
      <c r="C63" s="5">
        <v>42.0</v>
      </c>
      <c r="D63" s="5" t="s">
        <v>19</v>
      </c>
      <c r="E63" s="5">
        <v>950.0</v>
      </c>
      <c r="F63" s="5" t="s">
        <v>10</v>
      </c>
      <c r="G63" s="7">
        <v>1350.0</v>
      </c>
      <c r="H63" s="5" t="s">
        <v>11</v>
      </c>
      <c r="I63" s="6">
        <v>45876.0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4" t="s">
        <v>85</v>
      </c>
      <c r="B64" s="3"/>
      <c r="C64" s="5">
        <v>32.0</v>
      </c>
      <c r="D64" s="5" t="s">
        <v>9</v>
      </c>
      <c r="E64" s="7">
        <v>1050.0</v>
      </c>
      <c r="F64" s="5" t="s">
        <v>10</v>
      </c>
      <c r="G64" s="7">
        <v>1350.0</v>
      </c>
      <c r="H64" s="5" t="s">
        <v>11</v>
      </c>
      <c r="I64" s="6">
        <v>45876.0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8" t="s">
        <v>86</v>
      </c>
      <c r="C65" s="9">
        <v>38.0</v>
      </c>
      <c r="D65" s="9" t="s">
        <v>17</v>
      </c>
      <c r="E65" s="10">
        <v>3600.0</v>
      </c>
      <c r="F65" s="10">
        <v>620.0</v>
      </c>
      <c r="G65" s="10">
        <v>4650.0</v>
      </c>
      <c r="H65" s="11">
        <v>630.0</v>
      </c>
      <c r="I65" s="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4" t="s">
        <v>87</v>
      </c>
      <c r="B66" s="5" t="s">
        <v>22</v>
      </c>
      <c r="C66" s="5">
        <v>37.0</v>
      </c>
      <c r="D66" s="5" t="s">
        <v>9</v>
      </c>
      <c r="E66" s="7">
        <v>1200.0</v>
      </c>
      <c r="F66" s="5" t="s">
        <v>10</v>
      </c>
      <c r="G66" s="7">
        <v>1450.0</v>
      </c>
      <c r="H66" s="5" t="s">
        <v>11</v>
      </c>
      <c r="I66" s="6">
        <v>45876.0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4" t="s">
        <v>88</v>
      </c>
      <c r="B67" s="3"/>
      <c r="C67" s="5">
        <v>26.0</v>
      </c>
      <c r="D67" s="5" t="s">
        <v>19</v>
      </c>
      <c r="E67" s="7">
        <v>2750.0</v>
      </c>
      <c r="F67" s="5" t="s">
        <v>10</v>
      </c>
      <c r="G67" s="7">
        <v>3050.0</v>
      </c>
      <c r="H67" s="5" t="s">
        <v>11</v>
      </c>
      <c r="I67" s="6">
        <v>45876.0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4" t="s">
        <v>89</v>
      </c>
      <c r="B68" s="3"/>
      <c r="C68" s="5">
        <v>49.0</v>
      </c>
      <c r="D68" s="5" t="s">
        <v>9</v>
      </c>
      <c r="E68" s="5">
        <v>700.0</v>
      </c>
      <c r="F68" s="5" t="s">
        <v>10</v>
      </c>
      <c r="G68" s="7">
        <v>1050.0</v>
      </c>
      <c r="H68" s="5" t="s">
        <v>11</v>
      </c>
      <c r="I68" s="6">
        <v>45876.0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4" t="s">
        <v>90</v>
      </c>
      <c r="B69" s="3"/>
      <c r="C69" s="5">
        <v>45.0</v>
      </c>
      <c r="D69" s="5" t="s">
        <v>19</v>
      </c>
      <c r="E69" s="7">
        <v>1150.0</v>
      </c>
      <c r="F69" s="5" t="s">
        <v>10</v>
      </c>
      <c r="G69" s="7">
        <v>1200.0</v>
      </c>
      <c r="H69" s="5" t="s">
        <v>11</v>
      </c>
      <c r="I69" s="6">
        <v>45876.0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4" t="s">
        <v>91</v>
      </c>
      <c r="B70" s="3"/>
      <c r="C70" s="5">
        <v>53.0</v>
      </c>
      <c r="D70" s="5" t="s">
        <v>15</v>
      </c>
      <c r="E70" s="7">
        <v>3900.0</v>
      </c>
      <c r="F70" s="5" t="s">
        <v>10</v>
      </c>
      <c r="G70" s="7">
        <v>5900.0</v>
      </c>
      <c r="H70" s="5" t="s">
        <v>11</v>
      </c>
      <c r="I70" s="6">
        <v>45876.0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4" t="s">
        <v>92</v>
      </c>
      <c r="B71" s="3"/>
      <c r="C71" s="5">
        <v>42.0</v>
      </c>
      <c r="D71" s="5" t="s">
        <v>17</v>
      </c>
      <c r="E71" s="5">
        <v>700.0</v>
      </c>
      <c r="F71" s="5" t="s">
        <v>10</v>
      </c>
      <c r="G71" s="5">
        <v>700.0</v>
      </c>
      <c r="H71" s="5" t="s">
        <v>11</v>
      </c>
      <c r="I71" s="6">
        <v>45876.0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4" t="s">
        <v>93</v>
      </c>
      <c r="B72" s="3"/>
      <c r="C72" s="5">
        <v>33.0</v>
      </c>
      <c r="D72" s="5" t="s">
        <v>17</v>
      </c>
      <c r="E72" s="7">
        <v>3500.0</v>
      </c>
      <c r="F72" s="5" t="s">
        <v>10</v>
      </c>
      <c r="G72" s="7">
        <v>3700.0</v>
      </c>
      <c r="H72" s="5" t="s">
        <v>11</v>
      </c>
      <c r="I72" s="6">
        <v>45876.0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4" t="s">
        <v>94</v>
      </c>
      <c r="B73" s="5" t="s">
        <v>95</v>
      </c>
      <c r="C73" s="5">
        <v>79.0</v>
      </c>
      <c r="D73" s="5" t="s">
        <v>9</v>
      </c>
      <c r="E73" s="7">
        <v>1850.0</v>
      </c>
      <c r="F73" s="5" t="s">
        <v>10</v>
      </c>
      <c r="G73" s="7">
        <v>2550.0</v>
      </c>
      <c r="H73" s="5" t="s">
        <v>11</v>
      </c>
      <c r="I73" s="6">
        <v>45876.0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4" t="s">
        <v>96</v>
      </c>
      <c r="B74" s="3"/>
      <c r="C74" s="5">
        <v>8.0</v>
      </c>
      <c r="D74" s="5" t="s">
        <v>97</v>
      </c>
      <c r="E74" s="5">
        <v>500.0</v>
      </c>
      <c r="F74" s="5" t="s">
        <v>10</v>
      </c>
      <c r="G74" s="5">
        <v>600.0</v>
      </c>
      <c r="H74" s="5" t="s">
        <v>11</v>
      </c>
      <c r="I74" s="6">
        <v>45876.0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4" t="s">
        <v>98</v>
      </c>
      <c r="B75" s="3"/>
      <c r="C75" s="5">
        <v>47.0</v>
      </c>
      <c r="D75" s="5" t="s">
        <v>9</v>
      </c>
      <c r="E75" s="7">
        <v>1200.0</v>
      </c>
      <c r="F75" s="5" t="s">
        <v>10</v>
      </c>
      <c r="G75" s="7">
        <v>1350.0</v>
      </c>
      <c r="H75" s="5" t="s">
        <v>11</v>
      </c>
      <c r="I75" s="6">
        <v>45876.0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4" t="s">
        <v>99</v>
      </c>
      <c r="B76" s="3"/>
      <c r="C76" s="5">
        <v>8.0</v>
      </c>
      <c r="D76" s="5" t="s">
        <v>97</v>
      </c>
      <c r="E76" s="5">
        <v>450.0</v>
      </c>
      <c r="F76" s="5" t="s">
        <v>10</v>
      </c>
      <c r="G76" s="5">
        <v>600.0</v>
      </c>
      <c r="H76" s="5" t="s">
        <v>11</v>
      </c>
      <c r="I76" s="6">
        <v>45876.0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4" t="s">
        <v>100</v>
      </c>
      <c r="B77" s="3"/>
      <c r="C77" s="5">
        <v>15.0</v>
      </c>
      <c r="D77" s="5" t="s">
        <v>97</v>
      </c>
      <c r="E77" s="5">
        <v>600.0</v>
      </c>
      <c r="F77" s="5" t="s">
        <v>10</v>
      </c>
      <c r="G77" s="5">
        <v>750.0</v>
      </c>
      <c r="H77" s="5" t="s">
        <v>11</v>
      </c>
      <c r="I77" s="6">
        <v>45876.0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4" t="s">
        <v>101</v>
      </c>
      <c r="B78" s="3"/>
      <c r="C78" s="5">
        <v>30.0</v>
      </c>
      <c r="D78" s="5" t="s">
        <v>19</v>
      </c>
      <c r="E78" s="7">
        <v>4600.0</v>
      </c>
      <c r="F78" s="5" t="s">
        <v>10</v>
      </c>
      <c r="G78" s="7">
        <v>4600.0</v>
      </c>
      <c r="H78" s="5" t="s">
        <v>11</v>
      </c>
      <c r="I78" s="6">
        <v>45876.0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4" t="s">
        <v>102</v>
      </c>
      <c r="B79" s="3"/>
      <c r="C79" s="5">
        <v>44.0</v>
      </c>
      <c r="D79" s="5" t="s">
        <v>9</v>
      </c>
      <c r="E79" s="5">
        <v>950.0</v>
      </c>
      <c r="F79" s="5" t="s">
        <v>10</v>
      </c>
      <c r="G79" s="5">
        <v>950.0</v>
      </c>
      <c r="H79" s="5" t="s">
        <v>11</v>
      </c>
      <c r="I79" s="6">
        <v>45876.0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4" t="s">
        <v>103</v>
      </c>
      <c r="B80" s="3"/>
      <c r="C80" s="5">
        <v>71.0</v>
      </c>
      <c r="D80" s="5" t="s">
        <v>19</v>
      </c>
      <c r="E80" s="7">
        <v>1400.0</v>
      </c>
      <c r="F80" s="5" t="s">
        <v>10</v>
      </c>
      <c r="G80" s="5">
        <v>950.0</v>
      </c>
      <c r="H80" s="5" t="s">
        <v>11</v>
      </c>
      <c r="I80" s="6">
        <v>45876.0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4" t="s">
        <v>103</v>
      </c>
      <c r="B81" s="3"/>
      <c r="C81" s="5">
        <v>47.0</v>
      </c>
      <c r="D81" s="5" t="s">
        <v>9</v>
      </c>
      <c r="E81" s="7">
        <v>1700.0</v>
      </c>
      <c r="F81" s="5" t="s">
        <v>10</v>
      </c>
      <c r="G81" s="5">
        <v>950.0</v>
      </c>
      <c r="H81" s="5" t="s">
        <v>11</v>
      </c>
      <c r="I81" s="6">
        <v>45876.0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4" t="s">
        <v>104</v>
      </c>
      <c r="B82" s="3"/>
      <c r="C82" s="5">
        <v>42.0</v>
      </c>
      <c r="D82" s="5" t="s">
        <v>9</v>
      </c>
      <c r="E82" s="7">
        <v>1700.0</v>
      </c>
      <c r="F82" s="5" t="s">
        <v>10</v>
      </c>
      <c r="G82" s="7">
        <v>1350.0</v>
      </c>
      <c r="H82" s="5" t="s">
        <v>11</v>
      </c>
      <c r="I82" s="6">
        <v>45876.0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4" t="s">
        <v>105</v>
      </c>
      <c r="B83" s="5" t="s">
        <v>106</v>
      </c>
      <c r="C83" s="5">
        <v>32.0</v>
      </c>
      <c r="D83" s="5" t="s">
        <v>9</v>
      </c>
      <c r="E83" s="7">
        <v>1900.0</v>
      </c>
      <c r="F83" s="5" t="s">
        <v>10</v>
      </c>
      <c r="G83" s="7">
        <v>2250.0</v>
      </c>
      <c r="H83" s="5" t="s">
        <v>11</v>
      </c>
      <c r="I83" s="6">
        <v>45876.0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4" t="s">
        <v>107</v>
      </c>
      <c r="B84" s="5" t="s">
        <v>62</v>
      </c>
      <c r="C84" s="5">
        <v>47.0</v>
      </c>
      <c r="D84" s="5" t="s">
        <v>19</v>
      </c>
      <c r="E84" s="7">
        <v>5950.0</v>
      </c>
      <c r="F84" s="5" t="s">
        <v>10</v>
      </c>
      <c r="G84" s="7">
        <v>5950.0</v>
      </c>
      <c r="H84" s="5" t="s">
        <v>11</v>
      </c>
      <c r="I84" s="6">
        <v>45876.0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4" t="s">
        <v>108</v>
      </c>
      <c r="B85" s="3"/>
      <c r="C85" s="5">
        <v>47.0</v>
      </c>
      <c r="D85" s="5" t="s">
        <v>17</v>
      </c>
      <c r="E85" s="7">
        <v>1700.0</v>
      </c>
      <c r="F85" s="5" t="s">
        <v>10</v>
      </c>
      <c r="G85" s="7">
        <v>2250.0</v>
      </c>
      <c r="H85" s="5" t="s">
        <v>11</v>
      </c>
      <c r="I85" s="6">
        <v>45876.0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4" t="s">
        <v>109</v>
      </c>
      <c r="B86" s="3"/>
      <c r="C86" s="5">
        <v>46.0</v>
      </c>
      <c r="D86" s="5" t="s">
        <v>9</v>
      </c>
      <c r="E86" s="7">
        <v>1000.0</v>
      </c>
      <c r="F86" s="5" t="s">
        <v>10</v>
      </c>
      <c r="G86" s="5">
        <v>950.0</v>
      </c>
      <c r="H86" s="5" t="s">
        <v>11</v>
      </c>
      <c r="I86" s="6">
        <v>45876.0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4" t="s">
        <v>110</v>
      </c>
      <c r="B87" s="3"/>
      <c r="C87" s="5">
        <v>47.0</v>
      </c>
      <c r="D87" s="5" t="s">
        <v>9</v>
      </c>
      <c r="E87" s="5">
        <v>900.0</v>
      </c>
      <c r="F87" s="5" t="s">
        <v>10</v>
      </c>
      <c r="G87" s="5">
        <v>950.0</v>
      </c>
      <c r="H87" s="5" t="s">
        <v>11</v>
      </c>
      <c r="I87" s="6">
        <v>45876.0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4" t="s">
        <v>111</v>
      </c>
      <c r="B88" s="3"/>
      <c r="C88" s="5">
        <v>37.0</v>
      </c>
      <c r="D88" s="5" t="s">
        <v>9</v>
      </c>
      <c r="E88" s="7">
        <v>1350.0</v>
      </c>
      <c r="F88" s="5" t="s">
        <v>10</v>
      </c>
      <c r="G88" s="7">
        <v>1450.0</v>
      </c>
      <c r="H88" s="5" t="s">
        <v>11</v>
      </c>
      <c r="I88" s="6">
        <v>45876.0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4" t="s">
        <v>112</v>
      </c>
      <c r="B89" s="3"/>
      <c r="C89" s="5">
        <v>34.0</v>
      </c>
      <c r="D89" s="5" t="s">
        <v>9</v>
      </c>
      <c r="E89" s="7">
        <v>3650.0</v>
      </c>
      <c r="F89" s="5" t="s">
        <v>10</v>
      </c>
      <c r="G89" s="7">
        <v>4200.0</v>
      </c>
      <c r="H89" s="5" t="s">
        <v>11</v>
      </c>
      <c r="I89" s="6">
        <v>45876.0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4" t="s">
        <v>113</v>
      </c>
      <c r="B90" s="3"/>
      <c r="C90" s="5">
        <v>38.0</v>
      </c>
      <c r="D90" s="5" t="s">
        <v>17</v>
      </c>
      <c r="E90" s="7">
        <v>1600.0</v>
      </c>
      <c r="F90" s="5" t="s">
        <v>10</v>
      </c>
      <c r="G90" s="7">
        <v>1900.0</v>
      </c>
      <c r="H90" s="5" t="s">
        <v>11</v>
      </c>
      <c r="I90" s="6">
        <v>45876.0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4" t="s">
        <v>114</v>
      </c>
      <c r="B91" s="5" t="s">
        <v>115</v>
      </c>
      <c r="C91" s="5">
        <v>32.0</v>
      </c>
      <c r="D91" s="5" t="s">
        <v>9</v>
      </c>
      <c r="E91" s="7">
        <v>3450.0</v>
      </c>
      <c r="F91" s="5" t="s">
        <v>10</v>
      </c>
      <c r="G91" s="7">
        <v>3750.0</v>
      </c>
      <c r="H91" s="5" t="s">
        <v>11</v>
      </c>
      <c r="I91" s="6">
        <v>45876.0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4" t="s">
        <v>116</v>
      </c>
      <c r="B92" s="3"/>
      <c r="C92" s="5">
        <v>34.0</v>
      </c>
      <c r="D92" s="5" t="s">
        <v>9</v>
      </c>
      <c r="E92" s="5">
        <v>900.0</v>
      </c>
      <c r="F92" s="5" t="s">
        <v>10</v>
      </c>
      <c r="G92" s="7">
        <v>1150.0</v>
      </c>
      <c r="H92" s="5" t="s">
        <v>11</v>
      </c>
      <c r="I92" s="6">
        <v>45876.0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4" t="s">
        <v>117</v>
      </c>
      <c r="B93" s="3"/>
      <c r="C93" s="5">
        <v>29.0</v>
      </c>
      <c r="D93" s="5" t="s">
        <v>19</v>
      </c>
      <c r="E93" s="7">
        <v>1350.0</v>
      </c>
      <c r="F93" s="5" t="s">
        <v>10</v>
      </c>
      <c r="G93" s="7">
        <v>1350.0</v>
      </c>
      <c r="H93" s="5" t="s">
        <v>11</v>
      </c>
      <c r="I93" s="6">
        <v>45876.0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4" t="s">
        <v>118</v>
      </c>
      <c r="B94" s="3"/>
      <c r="C94" s="5">
        <v>35.0</v>
      </c>
      <c r="D94" s="5" t="s">
        <v>19</v>
      </c>
      <c r="E94" s="5">
        <v>800.0</v>
      </c>
      <c r="F94" s="5" t="s">
        <v>10</v>
      </c>
      <c r="G94" s="7">
        <v>1200.0</v>
      </c>
      <c r="H94" s="5" t="s">
        <v>11</v>
      </c>
      <c r="I94" s="6">
        <v>45876.0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4" t="s">
        <v>119</v>
      </c>
      <c r="B95" s="3"/>
      <c r="C95" s="5">
        <v>21.0</v>
      </c>
      <c r="D95" s="5" t="s">
        <v>17</v>
      </c>
      <c r="E95" s="7">
        <v>1350.0</v>
      </c>
      <c r="F95" s="5" t="s">
        <v>10</v>
      </c>
      <c r="G95" s="7">
        <v>1600.0</v>
      </c>
      <c r="H95" s="5" t="s">
        <v>11</v>
      </c>
      <c r="I95" s="6">
        <v>45876.0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4" t="s">
        <v>120</v>
      </c>
      <c r="B96" s="3"/>
      <c r="C96" s="5">
        <v>64.0</v>
      </c>
      <c r="D96" s="5" t="s">
        <v>17</v>
      </c>
      <c r="E96" s="7">
        <v>4700.0</v>
      </c>
      <c r="F96" s="5" t="s">
        <v>10</v>
      </c>
      <c r="G96" s="7">
        <v>6100.0</v>
      </c>
      <c r="H96" s="5" t="s">
        <v>11</v>
      </c>
      <c r="I96" s="6">
        <v>45876.0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4" t="s">
        <v>121</v>
      </c>
      <c r="B97" s="3"/>
      <c r="C97" s="5">
        <v>43.0</v>
      </c>
      <c r="D97" s="5" t="s">
        <v>19</v>
      </c>
      <c r="E97" s="7">
        <v>3600.0</v>
      </c>
      <c r="F97" s="5" t="s">
        <v>10</v>
      </c>
      <c r="G97" s="7">
        <v>3600.0</v>
      </c>
      <c r="H97" s="5" t="s">
        <v>11</v>
      </c>
      <c r="I97" s="6">
        <v>45876.0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4" t="s">
        <v>122</v>
      </c>
      <c r="B98" s="5" t="s">
        <v>62</v>
      </c>
      <c r="C98" s="5">
        <v>49.0</v>
      </c>
      <c r="D98" s="5" t="s">
        <v>17</v>
      </c>
      <c r="E98" s="7">
        <v>6200.0</v>
      </c>
      <c r="F98" s="5" t="s">
        <v>10</v>
      </c>
      <c r="G98" s="7">
        <v>6350.0</v>
      </c>
      <c r="H98" s="5" t="s">
        <v>11</v>
      </c>
      <c r="I98" s="6">
        <v>45876.0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4" t="s">
        <v>123</v>
      </c>
      <c r="B99" s="5" t="s">
        <v>124</v>
      </c>
      <c r="C99" s="5">
        <v>51.0</v>
      </c>
      <c r="D99" s="5" t="s">
        <v>15</v>
      </c>
      <c r="E99" s="7">
        <v>5100.0</v>
      </c>
      <c r="F99" s="5">
        <v>620.0</v>
      </c>
      <c r="G99" s="7">
        <v>5500.0</v>
      </c>
      <c r="H99" s="5">
        <v>630.0</v>
      </c>
      <c r="I99" s="6">
        <v>45901.0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4" t="s">
        <v>125</v>
      </c>
      <c r="B100" s="3"/>
      <c r="C100" s="5">
        <v>55.0</v>
      </c>
      <c r="D100" s="5" t="s">
        <v>15</v>
      </c>
      <c r="E100" s="7">
        <v>3550.0</v>
      </c>
      <c r="F100" s="5" t="s">
        <v>10</v>
      </c>
      <c r="G100" s="7">
        <v>4300.0</v>
      </c>
      <c r="H100" s="5" t="s">
        <v>11</v>
      </c>
      <c r="I100" s="6">
        <v>45876.0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4" t="s">
        <v>126</v>
      </c>
      <c r="B101" s="3"/>
      <c r="C101" s="5">
        <v>65.0</v>
      </c>
      <c r="D101" s="5" t="s">
        <v>9</v>
      </c>
      <c r="E101" s="7">
        <v>1700.0</v>
      </c>
      <c r="F101" s="5" t="s">
        <v>10</v>
      </c>
      <c r="G101" s="7">
        <v>1650.0</v>
      </c>
      <c r="H101" s="5" t="s">
        <v>11</v>
      </c>
      <c r="I101" s="6">
        <v>45876.0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4" t="s">
        <v>127</v>
      </c>
      <c r="B102" s="5" t="s">
        <v>128</v>
      </c>
      <c r="C102" s="5">
        <v>30.0</v>
      </c>
      <c r="D102" s="5" t="s">
        <v>129</v>
      </c>
      <c r="E102" s="7">
        <v>1850.0</v>
      </c>
      <c r="F102" s="5" t="s">
        <v>10</v>
      </c>
      <c r="G102" s="7">
        <v>1950.0</v>
      </c>
      <c r="H102" s="5" t="s">
        <v>11</v>
      </c>
      <c r="I102" s="6">
        <v>45876.0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4" t="s">
        <v>130</v>
      </c>
      <c r="B103" s="5" t="s">
        <v>128</v>
      </c>
      <c r="C103" s="5">
        <v>31.0</v>
      </c>
      <c r="D103" s="5" t="s">
        <v>9</v>
      </c>
      <c r="E103" s="7">
        <v>1200.0</v>
      </c>
      <c r="F103" s="5" t="s">
        <v>10</v>
      </c>
      <c r="G103" s="7">
        <v>1400.0</v>
      </c>
      <c r="H103" s="5" t="s">
        <v>11</v>
      </c>
      <c r="I103" s="6">
        <v>45876.0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4" t="s">
        <v>131</v>
      </c>
      <c r="B104" s="5" t="s">
        <v>132</v>
      </c>
      <c r="C104" s="5">
        <v>50.0</v>
      </c>
      <c r="D104" s="5" t="s">
        <v>17</v>
      </c>
      <c r="E104" s="7">
        <v>4800.0</v>
      </c>
      <c r="F104" s="5" t="s">
        <v>10</v>
      </c>
      <c r="G104" s="7">
        <v>6200.0</v>
      </c>
      <c r="H104" s="5" t="s">
        <v>11</v>
      </c>
      <c r="I104" s="6">
        <v>45876.0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4" t="s">
        <v>133</v>
      </c>
      <c r="B105" s="3"/>
      <c r="C105" s="5">
        <v>24.0</v>
      </c>
      <c r="D105" s="5" t="s">
        <v>97</v>
      </c>
      <c r="E105" s="7">
        <v>2200.0</v>
      </c>
      <c r="F105" s="5" t="s">
        <v>10</v>
      </c>
      <c r="G105" s="7">
        <v>2500.0</v>
      </c>
      <c r="H105" s="5" t="s">
        <v>11</v>
      </c>
      <c r="I105" s="6">
        <v>45876.0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4" t="s">
        <v>134</v>
      </c>
      <c r="B106" s="3"/>
      <c r="C106" s="5">
        <v>40.0</v>
      </c>
      <c r="D106" s="5" t="s">
        <v>9</v>
      </c>
      <c r="E106" s="7">
        <v>1000.0</v>
      </c>
      <c r="F106" s="5" t="s">
        <v>10</v>
      </c>
      <c r="G106" s="7">
        <v>1000.0</v>
      </c>
      <c r="H106" s="5" t="s">
        <v>11</v>
      </c>
      <c r="I106" s="6">
        <v>45876.0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4" t="s">
        <v>135</v>
      </c>
      <c r="B107" s="3"/>
      <c r="C107" s="5">
        <v>28.0</v>
      </c>
      <c r="D107" s="5" t="s">
        <v>19</v>
      </c>
      <c r="E107" s="7">
        <v>2550.0</v>
      </c>
      <c r="F107" s="5" t="s">
        <v>10</v>
      </c>
      <c r="G107" s="7">
        <v>2850.0</v>
      </c>
      <c r="H107" s="5" t="s">
        <v>11</v>
      </c>
      <c r="I107" s="6">
        <v>45876.0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4" t="s">
        <v>136</v>
      </c>
      <c r="B108" s="3"/>
      <c r="C108" s="5">
        <v>60.0</v>
      </c>
      <c r="D108" s="5" t="s">
        <v>9</v>
      </c>
      <c r="E108" s="7">
        <v>1150.0</v>
      </c>
      <c r="F108" s="5" t="s">
        <v>10</v>
      </c>
      <c r="G108" s="7">
        <v>1050.0</v>
      </c>
      <c r="H108" s="5" t="s">
        <v>11</v>
      </c>
      <c r="I108" s="6">
        <v>45876.0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4" t="s">
        <v>137</v>
      </c>
      <c r="B109" s="5" t="s">
        <v>138</v>
      </c>
      <c r="C109" s="5">
        <v>40.0</v>
      </c>
      <c r="D109" s="5" t="s">
        <v>9</v>
      </c>
      <c r="E109" s="7">
        <v>3350.0</v>
      </c>
      <c r="F109" s="5" t="s">
        <v>10</v>
      </c>
      <c r="G109" s="7">
        <v>3800.0</v>
      </c>
      <c r="H109" s="5" t="s">
        <v>11</v>
      </c>
      <c r="I109" s="6">
        <v>45876.0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4" t="s">
        <v>139</v>
      </c>
      <c r="B110" s="3"/>
      <c r="C110" s="5">
        <v>29.0</v>
      </c>
      <c r="D110" s="5" t="s">
        <v>19</v>
      </c>
      <c r="E110" s="7">
        <v>3550.0</v>
      </c>
      <c r="F110" s="5" t="s">
        <v>10</v>
      </c>
      <c r="G110" s="7">
        <v>3600.0</v>
      </c>
      <c r="H110" s="5" t="s">
        <v>11</v>
      </c>
      <c r="I110" s="6">
        <v>45876.0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4" t="s">
        <v>140</v>
      </c>
      <c r="B111" s="3"/>
      <c r="C111" s="5">
        <v>32.0</v>
      </c>
      <c r="D111" s="5" t="s">
        <v>19</v>
      </c>
      <c r="E111" s="7">
        <v>6300.0</v>
      </c>
      <c r="F111" s="5" t="s">
        <v>10</v>
      </c>
      <c r="G111" s="7">
        <v>6450.0</v>
      </c>
      <c r="H111" s="5" t="s">
        <v>11</v>
      </c>
      <c r="I111" s="6">
        <v>45876.0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4" t="s">
        <v>141</v>
      </c>
      <c r="B112" s="3"/>
      <c r="C112" s="5">
        <v>1.0</v>
      </c>
      <c r="D112" s="5" t="s">
        <v>9</v>
      </c>
      <c r="E112" s="5">
        <v>700.0</v>
      </c>
      <c r="F112" s="5" t="s">
        <v>10</v>
      </c>
      <c r="G112" s="5">
        <v>800.0</v>
      </c>
      <c r="H112" s="5" t="s">
        <v>11</v>
      </c>
      <c r="I112" s="6">
        <v>45876.0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4" t="s">
        <v>142</v>
      </c>
      <c r="B113" s="3"/>
      <c r="C113" s="5">
        <v>48.0</v>
      </c>
      <c r="D113" s="5" t="s">
        <v>17</v>
      </c>
      <c r="E113" s="7">
        <v>1600.0</v>
      </c>
      <c r="F113" s="5" t="s">
        <v>10</v>
      </c>
      <c r="G113" s="7">
        <v>1950.0</v>
      </c>
      <c r="H113" s="5" t="s">
        <v>11</v>
      </c>
      <c r="I113" s="6">
        <v>45876.0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4" t="s">
        <v>142</v>
      </c>
      <c r="B114" s="3"/>
      <c r="C114" s="5">
        <v>40.0</v>
      </c>
      <c r="D114" s="5" t="s">
        <v>9</v>
      </c>
      <c r="E114" s="7">
        <v>1150.0</v>
      </c>
      <c r="F114" s="5" t="s">
        <v>10</v>
      </c>
      <c r="G114" s="7">
        <v>1800.0</v>
      </c>
      <c r="H114" s="5" t="s">
        <v>11</v>
      </c>
      <c r="I114" s="6">
        <v>45876.0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4" t="s">
        <v>143</v>
      </c>
      <c r="B115" s="3"/>
      <c r="C115" s="5">
        <v>48.0</v>
      </c>
      <c r="D115" s="5" t="s">
        <v>15</v>
      </c>
      <c r="E115" s="7">
        <v>5050.0</v>
      </c>
      <c r="F115" s="5" t="s">
        <v>10</v>
      </c>
      <c r="G115" s="7">
        <v>5250.0</v>
      </c>
      <c r="H115" s="5" t="s">
        <v>11</v>
      </c>
      <c r="I115" s="6">
        <v>45876.0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4" t="s">
        <v>144</v>
      </c>
      <c r="B116" s="5" t="s">
        <v>145</v>
      </c>
      <c r="C116" s="5">
        <v>61.0</v>
      </c>
      <c r="D116" s="5" t="s">
        <v>9</v>
      </c>
      <c r="E116" s="7">
        <v>2000.0</v>
      </c>
      <c r="F116" s="5" t="s">
        <v>10</v>
      </c>
      <c r="G116" s="7">
        <v>1500.0</v>
      </c>
      <c r="H116" s="5" t="s">
        <v>11</v>
      </c>
      <c r="I116" s="6">
        <v>45876.0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4" t="s">
        <v>146</v>
      </c>
      <c r="B117" s="3"/>
      <c r="C117" s="5">
        <v>36.0</v>
      </c>
      <c r="D117" s="5" t="s">
        <v>9</v>
      </c>
      <c r="E117" s="7">
        <v>1100.0</v>
      </c>
      <c r="F117" s="5" t="s">
        <v>10</v>
      </c>
      <c r="G117" s="7">
        <v>1200.0</v>
      </c>
      <c r="H117" s="5" t="s">
        <v>11</v>
      </c>
      <c r="I117" s="6">
        <v>45876.0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4" t="s">
        <v>147</v>
      </c>
      <c r="B118" s="3"/>
      <c r="C118" s="5">
        <v>8.0</v>
      </c>
      <c r="D118" s="5" t="s">
        <v>97</v>
      </c>
      <c r="E118" s="5">
        <v>450.0</v>
      </c>
      <c r="F118" s="5" t="s">
        <v>10</v>
      </c>
      <c r="G118" s="5">
        <v>600.0</v>
      </c>
      <c r="H118" s="5" t="s">
        <v>11</v>
      </c>
      <c r="I118" s="6">
        <v>45876.0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4" t="s">
        <v>148</v>
      </c>
      <c r="B119" s="5" t="s">
        <v>149</v>
      </c>
      <c r="C119" s="5">
        <v>49.0</v>
      </c>
      <c r="D119" s="5" t="s">
        <v>17</v>
      </c>
      <c r="E119" s="7">
        <v>2500.0</v>
      </c>
      <c r="F119" s="5" t="s">
        <v>10</v>
      </c>
      <c r="G119" s="7">
        <v>4050.0</v>
      </c>
      <c r="H119" s="5" t="s">
        <v>11</v>
      </c>
      <c r="I119" s="6">
        <v>45876.0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4" t="s">
        <v>150</v>
      </c>
      <c r="B120" s="3"/>
      <c r="C120" s="5">
        <v>36.0</v>
      </c>
      <c r="D120" s="5" t="s">
        <v>19</v>
      </c>
      <c r="E120" s="7">
        <v>3500.0</v>
      </c>
      <c r="F120" s="5" t="s">
        <v>10</v>
      </c>
      <c r="G120" s="7">
        <v>3600.0</v>
      </c>
      <c r="H120" s="5" t="s">
        <v>11</v>
      </c>
      <c r="I120" s="6">
        <v>45876.0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4" t="s">
        <v>151</v>
      </c>
      <c r="B121" s="3"/>
      <c r="C121" s="5">
        <v>39.0</v>
      </c>
      <c r="D121" s="5" t="s">
        <v>17</v>
      </c>
      <c r="E121" s="7">
        <v>4050.0</v>
      </c>
      <c r="F121" s="5" t="s">
        <v>10</v>
      </c>
      <c r="G121" s="7">
        <v>4400.0</v>
      </c>
      <c r="H121" s="5" t="s">
        <v>11</v>
      </c>
      <c r="I121" s="6">
        <v>45876.0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4" t="s">
        <v>152</v>
      </c>
      <c r="B122" s="3"/>
      <c r="C122" s="5">
        <v>72.0</v>
      </c>
      <c r="D122" s="5" t="s">
        <v>19</v>
      </c>
      <c r="E122" s="7">
        <v>1650.0</v>
      </c>
      <c r="F122" s="5" t="s">
        <v>10</v>
      </c>
      <c r="G122" s="7">
        <v>4050.0</v>
      </c>
      <c r="H122" s="5" t="s">
        <v>11</v>
      </c>
      <c r="I122" s="6">
        <v>45876.0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4" t="s">
        <v>153</v>
      </c>
      <c r="B123" s="3"/>
      <c r="C123" s="5">
        <v>40.0</v>
      </c>
      <c r="D123" s="5" t="s">
        <v>19</v>
      </c>
      <c r="E123" s="7">
        <v>4600.0</v>
      </c>
      <c r="F123" s="5" t="s">
        <v>10</v>
      </c>
      <c r="G123" s="7">
        <v>4600.0</v>
      </c>
      <c r="H123" s="5" t="s">
        <v>11</v>
      </c>
      <c r="I123" s="6">
        <v>45876.0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4" t="s">
        <v>154</v>
      </c>
      <c r="B124" s="5" t="s">
        <v>67</v>
      </c>
      <c r="C124" s="5">
        <v>48.0</v>
      </c>
      <c r="D124" s="5" t="s">
        <v>19</v>
      </c>
      <c r="E124" s="7">
        <v>5100.0</v>
      </c>
      <c r="F124" s="5" t="s">
        <v>10</v>
      </c>
      <c r="G124" s="7">
        <v>5350.0</v>
      </c>
      <c r="H124" s="5" t="s">
        <v>11</v>
      </c>
      <c r="I124" s="6">
        <v>45876.0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4" t="s">
        <v>155</v>
      </c>
      <c r="B125" s="5" t="s">
        <v>156</v>
      </c>
      <c r="C125" s="5">
        <v>40.0</v>
      </c>
      <c r="D125" s="5" t="s">
        <v>17</v>
      </c>
      <c r="E125" s="7">
        <v>2100.0</v>
      </c>
      <c r="F125" s="5">
        <v>620.0</v>
      </c>
      <c r="G125" s="7">
        <v>2550.0</v>
      </c>
      <c r="H125" s="5">
        <v>630.0</v>
      </c>
      <c r="I125" s="6">
        <v>45901.0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4" t="s">
        <v>157</v>
      </c>
      <c r="B126" s="5" t="s">
        <v>158</v>
      </c>
      <c r="C126" s="5">
        <v>25.0</v>
      </c>
      <c r="D126" s="5" t="s">
        <v>9</v>
      </c>
      <c r="E126" s="7">
        <v>3000.0</v>
      </c>
      <c r="F126" s="5" t="s">
        <v>10</v>
      </c>
      <c r="G126" s="7">
        <v>3300.0</v>
      </c>
      <c r="H126" s="5" t="s">
        <v>11</v>
      </c>
      <c r="I126" s="6">
        <v>45876.0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4" t="s">
        <v>159</v>
      </c>
      <c r="B127" s="5" t="s">
        <v>160</v>
      </c>
      <c r="C127" s="5">
        <v>36.0</v>
      </c>
      <c r="D127" s="5" t="s">
        <v>9</v>
      </c>
      <c r="E127" s="7">
        <v>1500.0</v>
      </c>
      <c r="F127" s="5" t="s">
        <v>10</v>
      </c>
      <c r="G127" s="7">
        <v>1550.0</v>
      </c>
      <c r="H127" s="5" t="s">
        <v>11</v>
      </c>
      <c r="I127" s="6">
        <v>45876.0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4" t="s">
        <v>161</v>
      </c>
      <c r="B128" s="3"/>
      <c r="C128" s="5">
        <v>16.0</v>
      </c>
      <c r="D128" s="5" t="s">
        <v>97</v>
      </c>
      <c r="E128" s="5">
        <v>950.0</v>
      </c>
      <c r="F128" s="5" t="s">
        <v>10</v>
      </c>
      <c r="G128" s="7">
        <v>1150.0</v>
      </c>
      <c r="H128" s="5" t="s">
        <v>11</v>
      </c>
      <c r="I128" s="6">
        <v>45876.0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4" t="s">
        <v>162</v>
      </c>
      <c r="B129" s="5" t="s">
        <v>163</v>
      </c>
      <c r="C129" s="5">
        <v>83.0</v>
      </c>
      <c r="D129" s="5" t="s">
        <v>17</v>
      </c>
      <c r="E129" s="7">
        <v>3900.0</v>
      </c>
      <c r="F129" s="5" t="s">
        <v>10</v>
      </c>
      <c r="G129" s="7">
        <v>4050.0</v>
      </c>
      <c r="H129" s="5" t="s">
        <v>11</v>
      </c>
      <c r="I129" s="6">
        <v>45876.0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4" t="s">
        <v>164</v>
      </c>
      <c r="B130" s="5" t="s">
        <v>165</v>
      </c>
      <c r="C130" s="5">
        <v>44.0</v>
      </c>
      <c r="D130" s="5" t="s">
        <v>19</v>
      </c>
      <c r="E130" s="7">
        <v>5350.0</v>
      </c>
      <c r="F130" s="5" t="s">
        <v>10</v>
      </c>
      <c r="G130" s="7">
        <v>5400.0</v>
      </c>
      <c r="H130" s="5" t="s">
        <v>11</v>
      </c>
      <c r="I130" s="6">
        <v>45876.0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4" t="s">
        <v>166</v>
      </c>
      <c r="B131" s="3"/>
      <c r="C131" s="5">
        <v>41.0</v>
      </c>
      <c r="D131" s="5" t="s">
        <v>9</v>
      </c>
      <c r="E131" s="7">
        <v>1100.0</v>
      </c>
      <c r="F131" s="5" t="s">
        <v>10</v>
      </c>
      <c r="G131" s="7">
        <v>1350.0</v>
      </c>
      <c r="H131" s="5" t="s">
        <v>11</v>
      </c>
      <c r="I131" s="6">
        <v>45876.0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4" t="s">
        <v>167</v>
      </c>
      <c r="B132" s="5" t="s">
        <v>60</v>
      </c>
      <c r="C132" s="5">
        <v>40.0</v>
      </c>
      <c r="D132" s="5" t="s">
        <v>17</v>
      </c>
      <c r="E132" s="7">
        <v>4700.0</v>
      </c>
      <c r="F132" s="5" t="s">
        <v>10</v>
      </c>
      <c r="G132" s="7">
        <v>5350.0</v>
      </c>
      <c r="H132" s="5" t="s">
        <v>11</v>
      </c>
      <c r="I132" s="6">
        <v>45876.0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4" t="s">
        <v>168</v>
      </c>
      <c r="B133" s="3"/>
      <c r="C133" s="5">
        <v>39.0</v>
      </c>
      <c r="D133" s="5" t="s">
        <v>17</v>
      </c>
      <c r="E133" s="7">
        <v>3800.0</v>
      </c>
      <c r="F133" s="5" t="s">
        <v>10</v>
      </c>
      <c r="G133" s="7">
        <v>4000.0</v>
      </c>
      <c r="H133" s="5" t="s">
        <v>11</v>
      </c>
      <c r="I133" s="6">
        <v>45876.0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4" t="s">
        <v>169</v>
      </c>
      <c r="B134" s="3"/>
      <c r="C134" s="5">
        <v>40.0</v>
      </c>
      <c r="D134" s="5" t="s">
        <v>17</v>
      </c>
      <c r="E134" s="7">
        <v>3800.0</v>
      </c>
      <c r="F134" s="5" t="s">
        <v>10</v>
      </c>
      <c r="G134" s="7">
        <v>4000.0</v>
      </c>
      <c r="H134" s="5" t="s">
        <v>11</v>
      </c>
      <c r="I134" s="6">
        <v>45876.0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4" t="s">
        <v>170</v>
      </c>
      <c r="B135" s="3"/>
      <c r="C135" s="5">
        <v>62.0</v>
      </c>
      <c r="D135" s="5" t="s">
        <v>9</v>
      </c>
      <c r="E135" s="7">
        <v>1100.0</v>
      </c>
      <c r="F135" s="5" t="s">
        <v>10</v>
      </c>
      <c r="G135" s="7">
        <v>1150.0</v>
      </c>
      <c r="H135" s="5" t="s">
        <v>11</v>
      </c>
      <c r="I135" s="6">
        <v>45876.0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4" t="s">
        <v>171</v>
      </c>
      <c r="B136" s="5" t="s">
        <v>46</v>
      </c>
      <c r="C136" s="5">
        <v>50.0</v>
      </c>
      <c r="D136" s="5" t="s">
        <v>19</v>
      </c>
      <c r="E136" s="7">
        <v>1900.0</v>
      </c>
      <c r="F136" s="5" t="s">
        <v>10</v>
      </c>
      <c r="G136" s="7">
        <v>2200.0</v>
      </c>
      <c r="H136" s="5" t="s">
        <v>11</v>
      </c>
      <c r="I136" s="6">
        <v>45876.0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4" t="s">
        <v>172</v>
      </c>
      <c r="B137" s="3"/>
      <c r="C137" s="5">
        <v>28.0</v>
      </c>
      <c r="D137" s="5" t="s">
        <v>19</v>
      </c>
      <c r="E137" s="7">
        <v>3200.0</v>
      </c>
      <c r="F137" s="5" t="s">
        <v>10</v>
      </c>
      <c r="G137" s="7">
        <v>3550.0</v>
      </c>
      <c r="H137" s="5" t="s">
        <v>11</v>
      </c>
      <c r="I137" s="6">
        <v>45876.0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4" t="s">
        <v>173</v>
      </c>
      <c r="B138" s="3"/>
      <c r="C138" s="5">
        <v>35.0</v>
      </c>
      <c r="D138" s="5" t="s">
        <v>9</v>
      </c>
      <c r="E138" s="7">
        <v>2600.0</v>
      </c>
      <c r="F138" s="5" t="s">
        <v>10</v>
      </c>
      <c r="G138" s="7">
        <v>2900.0</v>
      </c>
      <c r="H138" s="5" t="s">
        <v>11</v>
      </c>
      <c r="I138" s="6">
        <v>45876.0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4" t="s">
        <v>174</v>
      </c>
      <c r="B139" s="5" t="s">
        <v>175</v>
      </c>
      <c r="C139" s="5">
        <v>33.0</v>
      </c>
      <c r="D139" s="5" t="s">
        <v>19</v>
      </c>
      <c r="E139" s="7">
        <v>3750.0</v>
      </c>
      <c r="F139" s="5" t="s">
        <v>10</v>
      </c>
      <c r="G139" s="7">
        <v>4050.0</v>
      </c>
      <c r="H139" s="5" t="s">
        <v>11</v>
      </c>
      <c r="I139" s="6">
        <v>45876.0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4" t="s">
        <v>176</v>
      </c>
      <c r="B140" s="5" t="s">
        <v>177</v>
      </c>
      <c r="C140" s="5">
        <v>44.0</v>
      </c>
      <c r="D140" s="5" t="s">
        <v>15</v>
      </c>
      <c r="E140" s="7">
        <v>3800.0</v>
      </c>
      <c r="F140" s="5" t="s">
        <v>10</v>
      </c>
      <c r="G140" s="7">
        <v>4750.0</v>
      </c>
      <c r="H140" s="5" t="s">
        <v>11</v>
      </c>
      <c r="I140" s="6">
        <v>45876.0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4" t="s">
        <v>178</v>
      </c>
      <c r="B141" s="5" t="s">
        <v>179</v>
      </c>
      <c r="C141" s="5">
        <v>34.0</v>
      </c>
      <c r="D141" s="5" t="s">
        <v>9</v>
      </c>
      <c r="E141" s="7">
        <v>1200.0</v>
      </c>
      <c r="F141" s="5" t="s">
        <v>10</v>
      </c>
      <c r="G141" s="7">
        <v>2550.0</v>
      </c>
      <c r="H141" s="5" t="s">
        <v>11</v>
      </c>
      <c r="I141" s="6">
        <v>45876.0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4" t="s">
        <v>180</v>
      </c>
      <c r="B142" s="5" t="s">
        <v>50</v>
      </c>
      <c r="C142" s="5">
        <v>53.0</v>
      </c>
      <c r="D142" s="5" t="s">
        <v>15</v>
      </c>
      <c r="E142" s="7">
        <v>5950.0</v>
      </c>
      <c r="F142" s="5" t="s">
        <v>10</v>
      </c>
      <c r="G142" s="7">
        <v>6950.0</v>
      </c>
      <c r="H142" s="5" t="s">
        <v>11</v>
      </c>
      <c r="I142" s="6">
        <v>45876.0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4" t="s">
        <v>181</v>
      </c>
      <c r="B143" s="3"/>
      <c r="C143" s="5">
        <v>12.0</v>
      </c>
      <c r="D143" s="5" t="s">
        <v>97</v>
      </c>
      <c r="E143" s="5">
        <v>800.0</v>
      </c>
      <c r="F143" s="5" t="s">
        <v>10</v>
      </c>
      <c r="G143" s="5">
        <v>850.0</v>
      </c>
      <c r="H143" s="5" t="s">
        <v>11</v>
      </c>
      <c r="I143" s="6">
        <v>45876.0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4" t="s">
        <v>182</v>
      </c>
      <c r="B144" s="3"/>
      <c r="C144" s="5">
        <v>7.0</v>
      </c>
      <c r="D144" s="5" t="s">
        <v>97</v>
      </c>
      <c r="E144" s="5">
        <v>450.0</v>
      </c>
      <c r="F144" s="5" t="s">
        <v>10</v>
      </c>
      <c r="G144" s="5">
        <v>550.0</v>
      </c>
      <c r="H144" s="5" t="s">
        <v>11</v>
      </c>
      <c r="I144" s="6">
        <v>45876.0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4" t="s">
        <v>183</v>
      </c>
      <c r="B145" s="3"/>
      <c r="C145" s="5">
        <v>34.0</v>
      </c>
      <c r="D145" s="5" t="s">
        <v>9</v>
      </c>
      <c r="E145" s="7">
        <v>2700.0</v>
      </c>
      <c r="F145" s="5" t="s">
        <v>10</v>
      </c>
      <c r="G145" s="7">
        <v>3000.0</v>
      </c>
      <c r="H145" s="5" t="s">
        <v>11</v>
      </c>
      <c r="I145" s="6">
        <v>45876.0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4" t="s">
        <v>184</v>
      </c>
      <c r="B146" s="5" t="s">
        <v>185</v>
      </c>
      <c r="C146" s="5">
        <v>42.0</v>
      </c>
      <c r="D146" s="5" t="s">
        <v>9</v>
      </c>
      <c r="E146" s="7">
        <v>2050.0</v>
      </c>
      <c r="F146" s="5" t="s">
        <v>10</v>
      </c>
      <c r="G146" s="7">
        <v>2050.0</v>
      </c>
      <c r="H146" s="5" t="s">
        <v>11</v>
      </c>
      <c r="I146" s="6">
        <v>45876.0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4" t="s">
        <v>186</v>
      </c>
      <c r="B147" s="3"/>
      <c r="C147" s="5">
        <v>28.0</v>
      </c>
      <c r="D147" s="5" t="s">
        <v>9</v>
      </c>
      <c r="E147" s="7">
        <v>1050.0</v>
      </c>
      <c r="F147" s="5" t="s">
        <v>10</v>
      </c>
      <c r="G147" s="5">
        <v>900.0</v>
      </c>
      <c r="H147" s="5" t="s">
        <v>11</v>
      </c>
      <c r="I147" s="6">
        <v>45876.0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4" t="s">
        <v>187</v>
      </c>
      <c r="B148" s="5" t="s">
        <v>165</v>
      </c>
      <c r="C148" s="5">
        <v>45.0</v>
      </c>
      <c r="D148" s="5" t="s">
        <v>19</v>
      </c>
      <c r="E148" s="7">
        <v>5850.0</v>
      </c>
      <c r="F148" s="5" t="s">
        <v>10</v>
      </c>
      <c r="G148" s="7">
        <v>6100.0</v>
      </c>
      <c r="H148" s="5" t="s">
        <v>11</v>
      </c>
      <c r="I148" s="6">
        <v>45876.0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4" t="s">
        <v>188</v>
      </c>
      <c r="B149" s="3"/>
      <c r="C149" s="5">
        <v>6.0</v>
      </c>
      <c r="D149" s="5" t="s">
        <v>97</v>
      </c>
      <c r="E149" s="7">
        <v>1100.0</v>
      </c>
      <c r="F149" s="5" t="s">
        <v>10</v>
      </c>
      <c r="G149" s="7">
        <v>1100.0</v>
      </c>
      <c r="H149" s="5" t="s">
        <v>11</v>
      </c>
      <c r="I149" s="6">
        <v>45876.0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4" t="s">
        <v>189</v>
      </c>
      <c r="B150" s="3"/>
      <c r="C150" s="5">
        <v>15.0</v>
      </c>
      <c r="D150" s="5" t="s">
        <v>19</v>
      </c>
      <c r="E150" s="7">
        <v>2750.0</v>
      </c>
      <c r="F150" s="5" t="s">
        <v>10</v>
      </c>
      <c r="G150" s="7">
        <v>3100.0</v>
      </c>
      <c r="H150" s="5" t="s">
        <v>11</v>
      </c>
      <c r="I150" s="6">
        <v>45876.0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4" t="s">
        <v>190</v>
      </c>
      <c r="B151" s="5" t="s">
        <v>191</v>
      </c>
      <c r="C151" s="5">
        <v>36.0</v>
      </c>
      <c r="D151" s="5" t="s">
        <v>9</v>
      </c>
      <c r="E151" s="7">
        <v>3200.0</v>
      </c>
      <c r="F151" s="5" t="s">
        <v>10</v>
      </c>
      <c r="G151" s="7">
        <v>3600.0</v>
      </c>
      <c r="H151" s="5" t="s">
        <v>11</v>
      </c>
      <c r="I151" s="6">
        <v>45876.0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4" t="s">
        <v>192</v>
      </c>
      <c r="B152" s="3"/>
      <c r="C152" s="5">
        <v>36.0</v>
      </c>
      <c r="D152" s="5" t="s">
        <v>19</v>
      </c>
      <c r="E152" s="7">
        <v>3200.0</v>
      </c>
      <c r="F152" s="5" t="s">
        <v>10</v>
      </c>
      <c r="G152" s="7">
        <v>3600.0</v>
      </c>
      <c r="H152" s="5" t="s">
        <v>11</v>
      </c>
      <c r="I152" s="6">
        <v>45876.0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4" t="s">
        <v>193</v>
      </c>
      <c r="B153" s="5" t="s">
        <v>194</v>
      </c>
      <c r="C153" s="5">
        <v>28.0</v>
      </c>
      <c r="D153" s="5" t="s">
        <v>9</v>
      </c>
      <c r="E153" s="7">
        <v>3500.0</v>
      </c>
      <c r="F153" s="5" t="s">
        <v>10</v>
      </c>
      <c r="G153" s="7">
        <v>3800.0</v>
      </c>
      <c r="H153" s="5" t="s">
        <v>11</v>
      </c>
      <c r="I153" s="6">
        <v>45876.0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4" t="s">
        <v>195</v>
      </c>
      <c r="B154" s="3"/>
      <c r="C154" s="5">
        <v>25.0</v>
      </c>
      <c r="D154" s="5" t="s">
        <v>9</v>
      </c>
      <c r="E154" s="7">
        <v>2800.0</v>
      </c>
      <c r="F154" s="5" t="s">
        <v>10</v>
      </c>
      <c r="G154" s="7">
        <v>3000.0</v>
      </c>
      <c r="H154" s="5" t="s">
        <v>11</v>
      </c>
      <c r="I154" s="6">
        <v>45876.0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4" t="s">
        <v>196</v>
      </c>
      <c r="B155" s="3"/>
      <c r="C155" s="5">
        <v>7.0</v>
      </c>
      <c r="D155" s="5" t="s">
        <v>19</v>
      </c>
      <c r="E155" s="5">
        <v>450.0</v>
      </c>
      <c r="F155" s="5" t="s">
        <v>10</v>
      </c>
      <c r="G155" s="5">
        <v>500.0</v>
      </c>
      <c r="H155" s="5" t="s">
        <v>11</v>
      </c>
      <c r="I155" s="6">
        <v>45876.0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4" t="s">
        <v>197</v>
      </c>
      <c r="B156" s="5" t="s">
        <v>50</v>
      </c>
      <c r="C156" s="5">
        <v>66.0</v>
      </c>
      <c r="D156" s="5" t="s">
        <v>15</v>
      </c>
      <c r="E156" s="7">
        <v>6000.0</v>
      </c>
      <c r="F156" s="5" t="s">
        <v>10</v>
      </c>
      <c r="G156" s="7">
        <v>6950.0</v>
      </c>
      <c r="H156" s="5" t="s">
        <v>11</v>
      </c>
      <c r="I156" s="6">
        <v>45876.0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4" t="s">
        <v>198</v>
      </c>
      <c r="B157" s="3"/>
      <c r="C157" s="5">
        <v>34.0</v>
      </c>
      <c r="D157" s="5" t="s">
        <v>17</v>
      </c>
      <c r="E157" s="7">
        <v>3800.0</v>
      </c>
      <c r="F157" s="5" t="s">
        <v>10</v>
      </c>
      <c r="G157" s="7">
        <v>4000.0</v>
      </c>
      <c r="H157" s="5" t="s">
        <v>11</v>
      </c>
      <c r="I157" s="6">
        <v>45876.0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4" t="s">
        <v>199</v>
      </c>
      <c r="B158" s="3"/>
      <c r="C158" s="5">
        <v>70.0</v>
      </c>
      <c r="D158" s="5" t="s">
        <v>17</v>
      </c>
      <c r="E158" s="7">
        <v>4350.0</v>
      </c>
      <c r="F158" s="5" t="s">
        <v>10</v>
      </c>
      <c r="G158" s="7">
        <v>5700.0</v>
      </c>
      <c r="H158" s="5" t="s">
        <v>11</v>
      </c>
      <c r="I158" s="6">
        <v>45876.0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4" t="s">
        <v>200</v>
      </c>
      <c r="B159" s="3"/>
      <c r="C159" s="5">
        <v>46.0</v>
      </c>
      <c r="D159" s="5" t="s">
        <v>9</v>
      </c>
      <c r="E159" s="7">
        <v>1000.0</v>
      </c>
      <c r="F159" s="5" t="s">
        <v>10</v>
      </c>
      <c r="G159" s="7">
        <v>1000.0</v>
      </c>
      <c r="H159" s="5" t="s">
        <v>11</v>
      </c>
      <c r="I159" s="6">
        <v>45876.0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4" t="s">
        <v>201</v>
      </c>
      <c r="B160" s="3"/>
      <c r="C160" s="5">
        <v>64.0</v>
      </c>
      <c r="D160" s="5" t="s">
        <v>19</v>
      </c>
      <c r="E160" s="7">
        <v>4000.0</v>
      </c>
      <c r="F160" s="5" t="s">
        <v>10</v>
      </c>
      <c r="G160" s="7">
        <v>5350.0</v>
      </c>
      <c r="H160" s="5" t="s">
        <v>11</v>
      </c>
      <c r="I160" s="6">
        <v>45876.0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4" t="s">
        <v>202</v>
      </c>
      <c r="B161" s="5" t="s">
        <v>203</v>
      </c>
      <c r="C161" s="5">
        <v>32.0</v>
      </c>
      <c r="D161" s="5" t="s">
        <v>9</v>
      </c>
      <c r="E161" s="7">
        <v>1600.0</v>
      </c>
      <c r="F161" s="5" t="s">
        <v>10</v>
      </c>
      <c r="G161" s="7">
        <v>1450.0</v>
      </c>
      <c r="H161" s="5" t="s">
        <v>11</v>
      </c>
      <c r="I161" s="6">
        <v>45876.0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4" t="s">
        <v>204</v>
      </c>
      <c r="B162" s="3"/>
      <c r="C162" s="5">
        <v>37.0</v>
      </c>
      <c r="D162" s="5" t="s">
        <v>17</v>
      </c>
      <c r="E162" s="5">
        <v>650.0</v>
      </c>
      <c r="F162" s="5" t="s">
        <v>10</v>
      </c>
      <c r="G162" s="5">
        <v>700.0</v>
      </c>
      <c r="H162" s="5" t="s">
        <v>11</v>
      </c>
      <c r="I162" s="6">
        <v>45876.0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4" t="s">
        <v>205</v>
      </c>
      <c r="B163" s="3"/>
      <c r="C163" s="5">
        <v>47.0</v>
      </c>
      <c r="D163" s="5" t="s">
        <v>19</v>
      </c>
      <c r="E163" s="7">
        <v>2200.0</v>
      </c>
      <c r="F163" s="5" t="s">
        <v>10</v>
      </c>
      <c r="G163" s="7">
        <v>3200.0</v>
      </c>
      <c r="H163" s="5" t="s">
        <v>11</v>
      </c>
      <c r="I163" s="6">
        <v>45876.0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4" t="s">
        <v>206</v>
      </c>
      <c r="B164" s="3"/>
      <c r="C164" s="5">
        <v>60.0</v>
      </c>
      <c r="D164" s="5" t="s">
        <v>9</v>
      </c>
      <c r="E164" s="5">
        <v>800.0</v>
      </c>
      <c r="F164" s="5" t="s">
        <v>10</v>
      </c>
      <c r="G164" s="7">
        <v>1100.0</v>
      </c>
      <c r="H164" s="5" t="s">
        <v>11</v>
      </c>
      <c r="I164" s="6">
        <v>45876.0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4" t="s">
        <v>207</v>
      </c>
      <c r="B165" s="3"/>
      <c r="C165" s="5">
        <v>38.0</v>
      </c>
      <c r="D165" s="5" t="s">
        <v>9</v>
      </c>
      <c r="E165" s="7">
        <v>1350.0</v>
      </c>
      <c r="F165" s="5" t="s">
        <v>10</v>
      </c>
      <c r="G165" s="7">
        <v>1500.0</v>
      </c>
      <c r="H165" s="5" t="s">
        <v>11</v>
      </c>
      <c r="I165" s="6">
        <v>45876.0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4" t="s">
        <v>208</v>
      </c>
      <c r="B166" s="3"/>
      <c r="C166" s="5">
        <v>15.0</v>
      </c>
      <c r="D166" s="5" t="s">
        <v>97</v>
      </c>
      <c r="E166" s="5">
        <v>900.0</v>
      </c>
      <c r="F166" s="5" t="s">
        <v>10</v>
      </c>
      <c r="G166" s="5">
        <v>870.0</v>
      </c>
      <c r="H166" s="5" t="s">
        <v>11</v>
      </c>
      <c r="I166" s="6">
        <v>45876.0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4" t="s">
        <v>209</v>
      </c>
      <c r="B167" s="3"/>
      <c r="C167" s="5">
        <v>54.0</v>
      </c>
      <c r="D167" s="5" t="s">
        <v>9</v>
      </c>
      <c r="E167" s="7">
        <v>1150.0</v>
      </c>
      <c r="F167" s="5" t="s">
        <v>10</v>
      </c>
      <c r="G167" s="7">
        <v>1050.0</v>
      </c>
      <c r="H167" s="5" t="s">
        <v>11</v>
      </c>
      <c r="I167" s="6">
        <v>45876.0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4" t="s">
        <v>210</v>
      </c>
      <c r="B168" s="5" t="s">
        <v>60</v>
      </c>
      <c r="C168" s="5">
        <v>40.0</v>
      </c>
      <c r="D168" s="5" t="s">
        <v>19</v>
      </c>
      <c r="E168" s="7">
        <v>8150.0</v>
      </c>
      <c r="F168" s="5" t="s">
        <v>10</v>
      </c>
      <c r="G168" s="7">
        <v>8550.0</v>
      </c>
      <c r="H168" s="5" t="s">
        <v>11</v>
      </c>
      <c r="I168" s="6">
        <v>45876.0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4" t="s">
        <v>211</v>
      </c>
      <c r="B169" s="3"/>
      <c r="C169" s="5">
        <v>34.0</v>
      </c>
      <c r="D169" s="5" t="s">
        <v>19</v>
      </c>
      <c r="E169" s="7">
        <v>1350.0</v>
      </c>
      <c r="F169" s="5" t="s">
        <v>10</v>
      </c>
      <c r="G169" s="7">
        <v>1550.0</v>
      </c>
      <c r="H169" s="5" t="s">
        <v>11</v>
      </c>
      <c r="I169" s="6">
        <v>45876.0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4" t="s">
        <v>212</v>
      </c>
      <c r="B170" s="5" t="s">
        <v>213</v>
      </c>
      <c r="C170" s="5">
        <v>42.0</v>
      </c>
      <c r="D170" s="5" t="s">
        <v>19</v>
      </c>
      <c r="E170" s="7">
        <v>4400.0</v>
      </c>
      <c r="F170" s="5" t="s">
        <v>10</v>
      </c>
      <c r="G170" s="7">
        <v>4750.0</v>
      </c>
      <c r="H170" s="5" t="s">
        <v>11</v>
      </c>
      <c r="I170" s="6">
        <v>45876.0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4" t="s">
        <v>214</v>
      </c>
      <c r="B171" s="3"/>
      <c r="C171" s="5">
        <v>42.0</v>
      </c>
      <c r="D171" s="5" t="s">
        <v>17</v>
      </c>
      <c r="E171" s="7">
        <v>1900.0</v>
      </c>
      <c r="F171" s="5" t="s">
        <v>10</v>
      </c>
      <c r="G171" s="7">
        <v>2850.0</v>
      </c>
      <c r="H171" s="5" t="s">
        <v>11</v>
      </c>
      <c r="I171" s="6">
        <v>45876.0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4" t="s">
        <v>214</v>
      </c>
      <c r="B172" s="3"/>
      <c r="C172" s="5">
        <v>74.0</v>
      </c>
      <c r="D172" s="5" t="s">
        <v>19</v>
      </c>
      <c r="E172" s="7">
        <v>1350.0</v>
      </c>
      <c r="F172" s="5" t="s">
        <v>10</v>
      </c>
      <c r="G172" s="7">
        <v>1650.0</v>
      </c>
      <c r="H172" s="5" t="s">
        <v>11</v>
      </c>
      <c r="I172" s="6">
        <v>45876.0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4" t="s">
        <v>215</v>
      </c>
      <c r="B173" s="3"/>
      <c r="C173" s="5">
        <v>54.0</v>
      </c>
      <c r="D173" s="5" t="s">
        <v>9</v>
      </c>
      <c r="E173" s="5">
        <v>950.0</v>
      </c>
      <c r="F173" s="5" t="s">
        <v>10</v>
      </c>
      <c r="G173" s="5">
        <v>900.0</v>
      </c>
      <c r="H173" s="5" t="s">
        <v>11</v>
      </c>
      <c r="I173" s="6">
        <v>45876.0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4" t="s">
        <v>216</v>
      </c>
      <c r="B174" s="3"/>
      <c r="C174" s="5">
        <v>45.0</v>
      </c>
      <c r="D174" s="5" t="s">
        <v>15</v>
      </c>
      <c r="E174" s="7">
        <v>5050.0</v>
      </c>
      <c r="F174" s="5" t="s">
        <v>10</v>
      </c>
      <c r="G174" s="7">
        <v>5250.0</v>
      </c>
      <c r="H174" s="5" t="s">
        <v>11</v>
      </c>
      <c r="I174" s="6">
        <v>45876.0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4" t="s">
        <v>217</v>
      </c>
      <c r="B175" s="3"/>
      <c r="C175" s="5">
        <v>33.0</v>
      </c>
      <c r="D175" s="5" t="s">
        <v>9</v>
      </c>
      <c r="E175" s="7">
        <v>1100.0</v>
      </c>
      <c r="F175" s="5" t="s">
        <v>10</v>
      </c>
      <c r="G175" s="7">
        <v>2400.0</v>
      </c>
      <c r="H175" s="5" t="s">
        <v>11</v>
      </c>
      <c r="I175" s="6">
        <v>45876.0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4" t="s">
        <v>218</v>
      </c>
      <c r="B176" s="3"/>
      <c r="C176" s="5">
        <v>29.0</v>
      </c>
      <c r="D176" s="5" t="s">
        <v>9</v>
      </c>
      <c r="E176" s="5">
        <v>800.0</v>
      </c>
      <c r="F176" s="5" t="s">
        <v>10</v>
      </c>
      <c r="G176" s="7">
        <v>1050.0</v>
      </c>
      <c r="H176" s="5" t="s">
        <v>11</v>
      </c>
      <c r="I176" s="6">
        <v>45876.0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4" t="s">
        <v>219</v>
      </c>
      <c r="B177" s="3"/>
      <c r="C177" s="5">
        <v>50.0</v>
      </c>
      <c r="D177" s="5" t="s">
        <v>15</v>
      </c>
      <c r="E177" s="7">
        <v>4750.0</v>
      </c>
      <c r="F177" s="5" t="s">
        <v>10</v>
      </c>
      <c r="G177" s="7">
        <v>5050.0</v>
      </c>
      <c r="H177" s="5" t="s">
        <v>11</v>
      </c>
      <c r="I177" s="6">
        <v>45876.0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4" t="s">
        <v>219</v>
      </c>
      <c r="B178" s="3"/>
      <c r="C178" s="5">
        <v>72.0</v>
      </c>
      <c r="D178" s="5" t="s">
        <v>17</v>
      </c>
      <c r="E178" s="7">
        <v>4350.0</v>
      </c>
      <c r="F178" s="5" t="s">
        <v>10</v>
      </c>
      <c r="G178" s="7">
        <v>5650.0</v>
      </c>
      <c r="H178" s="5" t="s">
        <v>11</v>
      </c>
      <c r="I178" s="6">
        <v>45876.0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4" t="s">
        <v>220</v>
      </c>
      <c r="B179" s="3"/>
      <c r="C179" s="5">
        <v>45.0</v>
      </c>
      <c r="D179" s="5" t="s">
        <v>9</v>
      </c>
      <c r="E179" s="7">
        <v>1080.0</v>
      </c>
      <c r="F179" s="5" t="s">
        <v>10</v>
      </c>
      <c r="G179" s="7">
        <v>1350.0</v>
      </c>
      <c r="H179" s="5" t="s">
        <v>11</v>
      </c>
      <c r="I179" s="6">
        <v>45876.0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4" t="s">
        <v>221</v>
      </c>
      <c r="B180" s="3"/>
      <c r="C180" s="5">
        <v>32.0</v>
      </c>
      <c r="D180" s="5" t="s">
        <v>9</v>
      </c>
      <c r="E180" s="7">
        <v>2400.0</v>
      </c>
      <c r="F180" s="5" t="s">
        <v>10</v>
      </c>
      <c r="G180" s="7">
        <v>2700.0</v>
      </c>
      <c r="H180" s="5" t="s">
        <v>11</v>
      </c>
      <c r="I180" s="6">
        <v>45876.0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4" t="s">
        <v>222</v>
      </c>
      <c r="B181" s="5" t="s">
        <v>46</v>
      </c>
      <c r="C181" s="5">
        <v>49.0</v>
      </c>
      <c r="D181" s="5" t="s">
        <v>19</v>
      </c>
      <c r="E181" s="7">
        <v>1550.0</v>
      </c>
      <c r="F181" s="5" t="s">
        <v>10</v>
      </c>
      <c r="G181" s="7">
        <v>1850.0</v>
      </c>
      <c r="H181" s="5" t="s">
        <v>11</v>
      </c>
      <c r="I181" s="6">
        <v>45876.0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4" t="s">
        <v>223</v>
      </c>
      <c r="B182" s="3"/>
      <c r="C182" s="5">
        <v>27.0</v>
      </c>
      <c r="D182" s="5" t="s">
        <v>17</v>
      </c>
      <c r="E182" s="7">
        <v>1900.0</v>
      </c>
      <c r="F182" s="5" t="s">
        <v>10</v>
      </c>
      <c r="G182" s="7">
        <v>2050.0</v>
      </c>
      <c r="H182" s="5" t="s">
        <v>11</v>
      </c>
      <c r="I182" s="6">
        <v>45876.0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4" t="s">
        <v>224</v>
      </c>
      <c r="B183" s="3"/>
      <c r="C183" s="5">
        <v>29.0</v>
      </c>
      <c r="D183" s="5" t="s">
        <v>19</v>
      </c>
      <c r="E183" s="7">
        <v>5700.0</v>
      </c>
      <c r="F183" s="5" t="s">
        <v>10</v>
      </c>
      <c r="G183" s="7">
        <v>6850.0</v>
      </c>
      <c r="H183" s="5" t="s">
        <v>11</v>
      </c>
      <c r="I183" s="6">
        <v>45876.0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4" t="s">
        <v>225</v>
      </c>
      <c r="B184" s="5" t="s">
        <v>226</v>
      </c>
      <c r="C184" s="5">
        <v>57.0</v>
      </c>
      <c r="D184" s="5" t="s">
        <v>15</v>
      </c>
      <c r="E184" s="7">
        <v>6250.0</v>
      </c>
      <c r="F184" s="5" t="s">
        <v>10</v>
      </c>
      <c r="G184" s="7">
        <v>7300.0</v>
      </c>
      <c r="H184" s="5" t="s">
        <v>11</v>
      </c>
      <c r="I184" s="6">
        <v>45876.0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4" t="s">
        <v>227</v>
      </c>
      <c r="B185" s="5"/>
      <c r="C185" s="5">
        <v>51.0</v>
      </c>
      <c r="D185" s="5" t="s">
        <v>15</v>
      </c>
      <c r="E185" s="7">
        <v>3450.0</v>
      </c>
      <c r="F185" s="5">
        <v>620.0</v>
      </c>
      <c r="G185" s="7"/>
      <c r="H185" s="5"/>
      <c r="I185" s="6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4" t="s">
        <v>228</v>
      </c>
      <c r="B186" s="5" t="s">
        <v>22</v>
      </c>
      <c r="C186" s="5">
        <v>27.0</v>
      </c>
      <c r="D186" s="5" t="s">
        <v>17</v>
      </c>
      <c r="E186" s="7">
        <v>2000.0</v>
      </c>
      <c r="F186" s="5" t="s">
        <v>10</v>
      </c>
      <c r="G186" s="7">
        <v>2200.0</v>
      </c>
      <c r="H186" s="5" t="s">
        <v>11</v>
      </c>
      <c r="I186" s="6">
        <v>45876.0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</sheetData>
  <autoFilter ref="$A$1:$I$186"/>
  <conditionalFormatting sqref="A2:A186">
    <cfRule type="expression" dxfId="0" priority="1">
      <formula>COUNTIF(#REF!, #REF!) &gt; 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  <col customWidth="1" min="2" max="2" width="19.38"/>
  </cols>
  <sheetData>
    <row r="1">
      <c r="A1" s="1"/>
      <c r="B1" s="1" t="s">
        <v>1</v>
      </c>
      <c r="C1" s="1" t="s">
        <v>2</v>
      </c>
      <c r="D1" s="1" t="s">
        <v>3</v>
      </c>
      <c r="E1" s="2" t="s">
        <v>4</v>
      </c>
      <c r="F1" s="2" t="s">
        <v>6</v>
      </c>
      <c r="G1" s="1" t="s">
        <v>7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>
      <c r="A2" s="13" t="str">
        <f>Base!A2</f>
        <v>Abu Dhabi - AEABD</v>
      </c>
      <c r="B2" s="14" t="s">
        <v>229</v>
      </c>
      <c r="C2" s="12">
        <f>Base!C2</f>
        <v>65</v>
      </c>
      <c r="D2" s="12" t="str">
        <f>Base!D2</f>
        <v>MAERSK</v>
      </c>
      <c r="E2" s="15">
        <f>SUM(Base!E2+1200)</f>
        <v>1950</v>
      </c>
      <c r="F2" s="15">
        <f>SUM(Base!G2+1400)</f>
        <v>2350</v>
      </c>
      <c r="G2" s="16">
        <f>Base!I2</f>
        <v>45876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>
      <c r="A3" s="13" t="str">
        <f>Base!A3</f>
        <v>Adelaide (AUADL)</v>
      </c>
      <c r="B3" s="14" t="s">
        <v>229</v>
      </c>
      <c r="C3" s="12">
        <f>Base!C3</f>
        <v>66</v>
      </c>
      <c r="D3" s="12" t="str">
        <f>Base!D3</f>
        <v>MAERSK</v>
      </c>
      <c r="E3" s="15">
        <f>SUM(Base!E3+1200)</f>
        <v>2350</v>
      </c>
      <c r="F3" s="15">
        <f>SUM(Base!G3+1400)</f>
        <v>2350</v>
      </c>
      <c r="G3" s="16">
        <f>Base!I3</f>
        <v>45876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>
      <c r="A4" s="13" t="str">
        <f>Base!A4</f>
        <v>Agadir (MAAGA)</v>
      </c>
      <c r="B4" s="14" t="s">
        <v>229</v>
      </c>
      <c r="C4" s="12">
        <f>Base!C4</f>
        <v>40</v>
      </c>
      <c r="D4" s="12" t="str">
        <f>Base!D4</f>
        <v>MAERSK</v>
      </c>
      <c r="E4" s="15">
        <f>SUM(Base!E4+1200)</f>
        <v>2150</v>
      </c>
      <c r="F4" s="15">
        <f>SUM(Base!G4+1400)</f>
        <v>2400</v>
      </c>
      <c r="G4" s="16">
        <f>Base!I4</f>
        <v>45876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>
      <c r="A5" s="13" t="str">
        <f>Base!A5</f>
        <v>Alexandria (EGALY)</v>
      </c>
      <c r="B5" s="14" t="s">
        <v>229</v>
      </c>
      <c r="C5" s="12">
        <f>Base!C5</f>
        <v>50</v>
      </c>
      <c r="D5" s="12" t="str">
        <f>Base!D5</f>
        <v>MSC</v>
      </c>
      <c r="E5" s="15">
        <f>SUM(Base!E5+1200)</f>
        <v>4850</v>
      </c>
      <c r="F5" s="15">
        <f>SUM(Base!G5+1400)</f>
        <v>6200</v>
      </c>
      <c r="G5" s="16">
        <f>Base!I5</f>
        <v>45876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>
      <c r="A6" s="13" t="str">
        <f>Base!A6</f>
        <v>Algeciras (ESALG)</v>
      </c>
      <c r="B6" s="14" t="s">
        <v>229</v>
      </c>
      <c r="C6" s="12">
        <f>Base!C6</f>
        <v>30</v>
      </c>
      <c r="D6" s="12" t="str">
        <f>Base!D6</f>
        <v>CMA</v>
      </c>
      <c r="E6" s="15">
        <f>SUM(Base!E6+1200)</f>
        <v>2250</v>
      </c>
      <c r="F6" s="15">
        <f>SUM(Base!G6+1400)</f>
        <v>2650</v>
      </c>
      <c r="G6" s="16">
        <f>Base!I6</f>
        <v>45876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>
      <c r="A7" s="13" t="str">
        <f>Base!A7</f>
        <v>Alger (DZALG)</v>
      </c>
      <c r="B7" s="14" t="s">
        <v>229</v>
      </c>
      <c r="C7" s="12">
        <f>Base!C7</f>
        <v>57</v>
      </c>
      <c r="D7" s="12" t="str">
        <f>Base!D7</f>
        <v>HAPAG</v>
      </c>
      <c r="E7" s="15">
        <f>SUM(Base!E7+1200)</f>
        <v>2950</v>
      </c>
      <c r="F7" s="15">
        <f>SUM(Base!G7+1400)</f>
        <v>3450</v>
      </c>
      <c r="G7" s="16">
        <f>Base!I7</f>
        <v>45876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>
      <c r="A8" s="13" t="str">
        <f>Base!A8</f>
        <v>Ambarli/Istambul - TRIST</v>
      </c>
      <c r="B8" s="14" t="s">
        <v>229</v>
      </c>
      <c r="C8" s="12">
        <f>Base!C8</f>
        <v>54</v>
      </c>
      <c r="D8" s="12" t="str">
        <f>Base!D8</f>
        <v>HAPAG</v>
      </c>
      <c r="E8" s="15">
        <f>SUM(Base!E8+1200)</f>
        <v>2250</v>
      </c>
      <c r="F8" s="15">
        <f>SUM(Base!G8+1400)</f>
        <v>2850</v>
      </c>
      <c r="G8" s="16">
        <f>Base!I8</f>
        <v>45876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>
      <c r="A9" s="13" t="str">
        <f>Base!A9</f>
        <v>Amsterdam (NLAMS)</v>
      </c>
      <c r="B9" s="12" t="str">
        <f>Base!B9</f>
        <v>Rotterdam</v>
      </c>
      <c r="C9" s="12">
        <f>Base!C9</f>
        <v>31</v>
      </c>
      <c r="D9" s="12" t="str">
        <f>Base!D9</f>
        <v>MAERSK</v>
      </c>
      <c r="E9" s="15">
        <f>SUM(Base!E9+1200)</f>
        <v>2550</v>
      </c>
      <c r="F9" s="15">
        <f>SUM(Base!G9+1400)</f>
        <v>2850</v>
      </c>
      <c r="G9" s="16">
        <f>Base!I9</f>
        <v>45876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>
      <c r="A10" s="13" t="str">
        <f>Base!A10</f>
        <v>Antwerp (BEANR)</v>
      </c>
      <c r="B10" s="14" t="s">
        <v>229</v>
      </c>
      <c r="C10" s="12">
        <f>Base!C10</f>
        <v>47</v>
      </c>
      <c r="D10" s="12" t="str">
        <f>Base!D10</f>
        <v>HAPAG</v>
      </c>
      <c r="E10" s="15">
        <f>SUM(Base!E10+1200)</f>
        <v>2300</v>
      </c>
      <c r="F10" s="15">
        <f>SUM(Base!G10+1400)</f>
        <v>2550</v>
      </c>
      <c r="G10" s="16">
        <f>Base!I10</f>
        <v>45876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>
      <c r="A11" s="13" t="str">
        <f>Base!A11</f>
        <v>Antwerp (BEANR)</v>
      </c>
      <c r="B11" s="14" t="s">
        <v>229</v>
      </c>
      <c r="C11" s="12">
        <f>Base!C11</f>
        <v>36</v>
      </c>
      <c r="D11" s="12" t="str">
        <f>Base!D11</f>
        <v>MAERSK</v>
      </c>
      <c r="E11" s="15">
        <f>SUM(Base!E11+1200)</f>
        <v>2300</v>
      </c>
      <c r="F11" s="15">
        <f>SUM(Base!G11+1400)</f>
        <v>2350</v>
      </c>
      <c r="G11" s="16">
        <f>Base!I11</f>
        <v>45876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>
      <c r="A12" s="13" t="str">
        <f>Base!A12</f>
        <v>Apapa (NGAPP)</v>
      </c>
      <c r="B12" s="14" t="s">
        <v>229</v>
      </c>
      <c r="C12" s="12">
        <f>Base!C12</f>
        <v>47</v>
      </c>
      <c r="D12" s="12" t="str">
        <f>Base!D12</f>
        <v>MSC</v>
      </c>
      <c r="E12" s="15">
        <f>SUM(Base!E12+1200)</f>
        <v>4550</v>
      </c>
      <c r="F12" s="15">
        <f>SUM(Base!G12+1400)</f>
        <v>5700</v>
      </c>
      <c r="G12" s="16">
        <f>Base!I12</f>
        <v>45876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>
      <c r="A13" s="13" t="str">
        <f>Base!A13</f>
        <v>Aqaba - JOAQJ</v>
      </c>
      <c r="B13" s="14" t="s">
        <v>229</v>
      </c>
      <c r="C13" s="12">
        <f>Base!C13</f>
        <v>62</v>
      </c>
      <c r="D13" s="12" t="str">
        <f>Base!D13</f>
        <v>MSC</v>
      </c>
      <c r="E13" s="15">
        <f>SUM(Base!E13+1200)</f>
        <v>5050</v>
      </c>
      <c r="F13" s="15">
        <f>SUM(Base!G13+1400)</f>
        <v>7250</v>
      </c>
      <c r="G13" s="16">
        <f>Base!I13</f>
        <v>45876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>
      <c r="A14" s="13" t="str">
        <f>Base!A14</f>
        <v>Arica (CLARI)</v>
      </c>
      <c r="B14" s="14" t="s">
        <v>229</v>
      </c>
      <c r="C14" s="12">
        <f>Base!C14</f>
        <v>40</v>
      </c>
      <c r="D14" s="12" t="str">
        <f>Base!D14</f>
        <v>MAERSK</v>
      </c>
      <c r="E14" s="15">
        <f>SUM(Base!E14+1200)</f>
        <v>4250</v>
      </c>
      <c r="F14" s="15">
        <f>SUM(Base!G14+1400)</f>
        <v>4750</v>
      </c>
      <c r="G14" s="16">
        <f>Base!I14</f>
        <v>45876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>
      <c r="A15" s="13" t="str">
        <f>Base!A15</f>
        <v>Ashdod - ILASH</v>
      </c>
      <c r="B15" s="14" t="s">
        <v>229</v>
      </c>
      <c r="C15" s="12">
        <f>Base!C15</f>
        <v>50</v>
      </c>
      <c r="D15" s="12" t="str">
        <f>Base!D15</f>
        <v>MAERSK</v>
      </c>
      <c r="E15" s="15">
        <f>SUM(Base!E15+1200)</f>
        <v>1900</v>
      </c>
      <c r="F15" s="15">
        <f>SUM(Base!G15+1400)</f>
        <v>2150</v>
      </c>
      <c r="G15" s="16">
        <f>Base!I15</f>
        <v>45876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>
      <c r="A16" s="13" t="str">
        <f>Base!A16</f>
        <v>Atlanta (USATL)</v>
      </c>
      <c r="B16" s="12" t="str">
        <f>Base!B16</f>
        <v>Charleston</v>
      </c>
      <c r="C16" s="12">
        <f>Base!C16</f>
        <v>42</v>
      </c>
      <c r="D16" s="12" t="str">
        <f>Base!D16</f>
        <v>CMA</v>
      </c>
      <c r="E16" s="15">
        <f>SUM(Base!E16+1200)</f>
        <v>6150</v>
      </c>
      <c r="F16" s="15">
        <f>SUM(Base!G16+1400)</f>
        <v>6500</v>
      </c>
      <c r="G16" s="16">
        <f>Base!I16</f>
        <v>45876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>
      <c r="A17" s="13" t="str">
        <f>Base!A17</f>
        <v>Baltimore (USBAL)</v>
      </c>
      <c r="B17" s="14" t="s">
        <v>229</v>
      </c>
      <c r="C17" s="12">
        <f>Base!C17</f>
        <v>37</v>
      </c>
      <c r="D17" s="12" t="str">
        <f>Base!D17</f>
        <v>CMA</v>
      </c>
      <c r="E17" s="15">
        <f>SUM(Base!E17+1200)</f>
        <v>5200</v>
      </c>
      <c r="F17" s="15">
        <f>SUM(Base!G17+1400)</f>
        <v>5800</v>
      </c>
      <c r="G17" s="16">
        <f>Base!I17</f>
        <v>45876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3" t="str">
        <f>Base!A18</f>
        <v>Bangkok - THBKK</v>
      </c>
      <c r="B18" s="12" t="str">
        <f>Base!B18</f>
        <v>Laem Chabang</v>
      </c>
      <c r="C18" s="12">
        <f>Base!C18</f>
        <v>47</v>
      </c>
      <c r="D18" s="12" t="str">
        <f>Base!D18</f>
        <v>MAERSK</v>
      </c>
      <c r="E18" s="15">
        <f>SUM(Base!E18+1200)</f>
        <v>2200</v>
      </c>
      <c r="F18" s="15">
        <f>SUM(Base!G18+1400)</f>
        <v>2350</v>
      </c>
      <c r="G18" s="16">
        <f>Base!I18</f>
        <v>45876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>
      <c r="A19" s="13" t="str">
        <f>Base!A19</f>
        <v>Barcelona (ESBCN)</v>
      </c>
      <c r="B19" s="14" t="s">
        <v>229</v>
      </c>
      <c r="C19" s="12">
        <f>Base!C19</f>
        <v>32</v>
      </c>
      <c r="D19" s="12" t="str">
        <f>Base!D19</f>
        <v>MAERSK</v>
      </c>
      <c r="E19" s="15">
        <f>SUM(Base!E19+1200)</f>
        <v>2400</v>
      </c>
      <c r="F19" s="15">
        <f>SUM(Base!G19+1400)</f>
        <v>2200</v>
      </c>
      <c r="G19" s="16">
        <f>Base!I19</f>
        <v>45876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>
      <c r="A20" s="13" t="str">
        <f>Base!A20</f>
        <v>Baton Rouge (USBTR)</v>
      </c>
      <c r="B20" s="12" t="str">
        <f>Base!B20</f>
        <v>New orleans</v>
      </c>
      <c r="C20" s="12">
        <f>Base!C20</f>
        <v>43</v>
      </c>
      <c r="D20" s="12" t="str">
        <f>Base!D20</f>
        <v>HAPAG</v>
      </c>
      <c r="E20" s="15">
        <f>SUM(Base!E20+1200)</f>
        <v>5500</v>
      </c>
      <c r="F20" s="15">
        <f>SUM(Base!G20+1400)</f>
        <v>5700</v>
      </c>
      <c r="G20" s="16">
        <f>Base!I20</f>
        <v>45876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>
      <c r="A21" s="13" t="str">
        <f>Base!A21</f>
        <v>Beirut - LBBEY</v>
      </c>
      <c r="B21" s="14" t="s">
        <v>229</v>
      </c>
      <c r="C21" s="12">
        <f>Base!C21</f>
        <v>53</v>
      </c>
      <c r="D21" s="12" t="str">
        <f>Base!D21</f>
        <v>HAPAG</v>
      </c>
      <c r="E21" s="15">
        <f>SUM(Base!E21+1200)</f>
        <v>3200</v>
      </c>
      <c r="F21" s="15">
        <f>SUM(Base!G21+1400)</f>
        <v>3700</v>
      </c>
      <c r="G21" s="16">
        <f>Base!I21</f>
        <v>45876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>
      <c r="A22" s="13" t="str">
        <f>Base!A22</f>
        <v>Belfast</v>
      </c>
      <c r="B22" s="14" t="s">
        <v>229</v>
      </c>
      <c r="C22" s="12">
        <f>Base!C22</f>
        <v>44</v>
      </c>
      <c r="D22" s="12" t="str">
        <f>Base!D22</f>
        <v>CMA</v>
      </c>
      <c r="E22" s="15">
        <f>SUM(Base!E22+1200)</f>
        <v>3450</v>
      </c>
      <c r="F22" s="15">
        <f>SUM(Base!G22+1400)</f>
        <v>3850</v>
      </c>
      <c r="G22" s="12" t="str">
        <f>Base!I22</f>
        <v>1/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>
      <c r="A23" s="13" t="str">
        <f>Base!A23</f>
        <v>Bogota (COBOG)</v>
      </c>
      <c r="B23" s="14" t="s">
        <v>229</v>
      </c>
      <c r="C23" s="12">
        <f>Base!C23</f>
        <v>30</v>
      </c>
      <c r="D23" s="12" t="str">
        <f>Base!D23</f>
        <v>MAERSK</v>
      </c>
      <c r="E23" s="15">
        <f>SUM(Base!E23+1200)</f>
        <v>5250</v>
      </c>
      <c r="F23" s="15">
        <f>SUM(Base!G23+1400)</f>
        <v>5750</v>
      </c>
      <c r="G23" s="16">
        <f>Base!I23</f>
        <v>45876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>
      <c r="A24" s="13" t="str">
        <f>Base!A24</f>
        <v>Boston (USBOS)</v>
      </c>
      <c r="B24" s="14" t="s">
        <v>229</v>
      </c>
      <c r="C24" s="12">
        <f>Base!C24</f>
        <v>60</v>
      </c>
      <c r="D24" s="12" t="str">
        <f>Base!D24</f>
        <v>MSC</v>
      </c>
      <c r="E24" s="15">
        <f>SUM(Base!E24+1200)</f>
        <v>5200</v>
      </c>
      <c r="F24" s="15">
        <f>SUM(Base!G24+1400)</f>
        <v>6250</v>
      </c>
      <c r="G24" s="16">
        <f>Base!I24</f>
        <v>45876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>
      <c r="A25" s="13" t="str">
        <f>Base!A25</f>
        <v>Bremerhaven (DEBRV)</v>
      </c>
      <c r="B25" s="14" t="s">
        <v>229</v>
      </c>
      <c r="C25" s="12">
        <f>Base!C25</f>
        <v>33</v>
      </c>
      <c r="D25" s="12" t="str">
        <f>Base!D25</f>
        <v>MAERSK</v>
      </c>
      <c r="E25" s="15">
        <f>SUM(Base!E25+1200)</f>
        <v>2300</v>
      </c>
      <c r="F25" s="15">
        <f>SUM(Base!G25+1400)</f>
        <v>2350</v>
      </c>
      <c r="G25" s="16">
        <f>Base!I25</f>
        <v>45876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>
      <c r="A26" s="13" t="str">
        <f>Base!A26</f>
        <v>Brisbane (AUBNE)</v>
      </c>
      <c r="B26" s="14" t="s">
        <v>229</v>
      </c>
      <c r="C26" s="12">
        <f>Base!C26</f>
        <v>52</v>
      </c>
      <c r="D26" s="12" t="str">
        <f>Base!D26</f>
        <v>MAERSK</v>
      </c>
      <c r="E26" s="15">
        <f>SUM(Base!E26+1200)</f>
        <v>2600</v>
      </c>
      <c r="F26" s="15">
        <f>SUM(Base!G26+1400)</f>
        <v>3200</v>
      </c>
      <c r="G26" s="16">
        <f>Base!I26</f>
        <v>45876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>
      <c r="A27" s="13" t="str">
        <f>Base!A27</f>
        <v>Bruselas (BEBRU)</v>
      </c>
      <c r="B27" s="12" t="str">
        <f>Base!B27</f>
        <v>Antwerp</v>
      </c>
      <c r="C27" s="12">
        <f>Base!C27</f>
        <v>37</v>
      </c>
      <c r="D27" s="12" t="str">
        <f>Base!D27</f>
        <v>CMA</v>
      </c>
      <c r="E27" s="15">
        <f>SUM(Base!E27+1200)</f>
        <v>3000</v>
      </c>
      <c r="F27" s="15">
        <f>SUM(Base!G27+1400)</f>
        <v>3450</v>
      </c>
      <c r="G27" s="16">
        <f>Base!I27</f>
        <v>45876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>
      <c r="A28" s="13" t="str">
        <f>Base!A28</f>
        <v>Budapest (HUBUD)</v>
      </c>
      <c r="B28" s="12" t="str">
        <f>Base!B28</f>
        <v>Hamburgo</v>
      </c>
      <c r="C28" s="12">
        <f>Base!C28</f>
        <v>48</v>
      </c>
      <c r="D28" s="12" t="str">
        <f>Base!D28</f>
        <v>HAPAG</v>
      </c>
      <c r="E28" s="15">
        <f>SUM(Base!E28+1200)</f>
        <v>3050</v>
      </c>
      <c r="F28" s="15">
        <f>SUM(Base!G28+1400)</f>
        <v>4450</v>
      </c>
      <c r="G28" s="16">
        <f>Base!I28</f>
        <v>45876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>
      <c r="A29" s="13" t="str">
        <f>Base!A29</f>
        <v>Budapest (HUBUD)</v>
      </c>
      <c r="B29" s="12" t="str">
        <f>Base!B29</f>
        <v>Hamburgo</v>
      </c>
      <c r="C29" s="12">
        <f>Base!C29</f>
        <v>30</v>
      </c>
      <c r="D29" s="12" t="str">
        <f>Base!D29</f>
        <v>CMA</v>
      </c>
      <c r="E29" s="15"/>
      <c r="F29" s="15">
        <f>SUM(Base!G29+1400)</f>
        <v>4000</v>
      </c>
      <c r="G29" s="16">
        <f>Base!I29</f>
        <v>45876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>
      <c r="A30" s="13" t="str">
        <f>Base!A30</f>
        <v>Busan, KR - KRPUS</v>
      </c>
      <c r="B30" s="14" t="s">
        <v>229</v>
      </c>
      <c r="C30" s="12">
        <f>Base!C30</f>
        <v>48</v>
      </c>
      <c r="D30" s="12" t="str">
        <f>Base!D30</f>
        <v>MAERSK</v>
      </c>
      <c r="E30" s="15">
        <f>SUM(Base!E30+1200)</f>
        <v>2150</v>
      </c>
      <c r="F30" s="15">
        <f>SUM(Base!G30+1400)</f>
        <v>2300</v>
      </c>
      <c r="G30" s="16">
        <f>Base!I30</f>
        <v>45876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3" t="str">
        <f>Base!A31</f>
        <v>Calgary (CACAL)</v>
      </c>
      <c r="B31" s="12" t="str">
        <f>Base!B31</f>
        <v>Vancouver</v>
      </c>
      <c r="C31" s="12">
        <f>Base!C31</f>
        <v>72</v>
      </c>
      <c r="D31" s="12" t="str">
        <f>Base!D31</f>
        <v>CMA</v>
      </c>
      <c r="E31" s="15">
        <f>SUM(Base!E31+1200)</f>
        <v>6400</v>
      </c>
      <c r="F31" s="15">
        <f>SUM(Base!G31+1400)</f>
        <v>8100</v>
      </c>
      <c r="G31" s="16">
        <f>Base!I31</f>
        <v>45876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>
      <c r="A32" s="13" t="str">
        <f>Base!A32</f>
        <v>Calgary (CACAL)</v>
      </c>
      <c r="B32" s="12" t="str">
        <f>Base!B32</f>
        <v>Vancouver</v>
      </c>
      <c r="C32" s="12">
        <f>Base!C32</f>
        <v>62</v>
      </c>
      <c r="D32" s="12" t="str">
        <f>Base!D32</f>
        <v>MSC</v>
      </c>
      <c r="E32" s="15">
        <f>SUM(Base!E32+1200)</f>
        <v>6850</v>
      </c>
      <c r="F32" s="15">
        <f>SUM(Base!G32+1400)</f>
        <v>7500</v>
      </c>
      <c r="G32" s="16">
        <f>Base!I32</f>
        <v>45876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>
      <c r="A33" s="13" t="str">
        <f>Base!A33</f>
        <v>Callao (PECLL)</v>
      </c>
      <c r="B33" s="14" t="s">
        <v>229</v>
      </c>
      <c r="C33" s="12">
        <f>Base!C33</f>
        <v>24</v>
      </c>
      <c r="D33" s="12" t="str">
        <f>Base!D33</f>
        <v>HAPAG</v>
      </c>
      <c r="E33" s="15">
        <f>SUM(Base!E33+1200)</f>
        <v>3850</v>
      </c>
      <c r="F33" s="15">
        <f>SUM(Base!G33+1400)</f>
        <v>4450</v>
      </c>
      <c r="G33" s="16">
        <f>Base!I33</f>
        <v>45876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>
      <c r="A34" s="13" t="str">
        <f>Base!A34</f>
        <v>Caracas (VECCS)</v>
      </c>
      <c r="B34" s="12" t="str">
        <f>Base!B34</f>
        <v>La Guaira</v>
      </c>
      <c r="C34" s="12">
        <f>Base!C34</f>
        <v>35</v>
      </c>
      <c r="D34" s="12" t="str">
        <f>Base!D34</f>
        <v>MAERSK</v>
      </c>
      <c r="E34" s="15">
        <f>SUM(Base!E34+1200)</f>
        <v>4850</v>
      </c>
      <c r="F34" s="15">
        <f>SUM(Base!G34+1400)</f>
        <v>5600</v>
      </c>
      <c r="G34" s="16">
        <f>Base!I34</f>
        <v>45876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>
      <c r="A35" s="13" t="str">
        <f>Base!A35</f>
        <v>Cartagena Port  (COCTG)</v>
      </c>
      <c r="B35" s="14" t="s">
        <v>229</v>
      </c>
      <c r="C35" s="12">
        <f>Base!C35</f>
        <v>25</v>
      </c>
      <c r="D35" s="12" t="str">
        <f>Base!D35</f>
        <v>MAERSK</v>
      </c>
      <c r="E35" s="15">
        <f>SUM(Base!E35+1200)</f>
        <v>3600</v>
      </c>
      <c r="F35" s="15">
        <f>SUM(Base!G35+1400)</f>
        <v>4100</v>
      </c>
      <c r="G35" s="16">
        <f>Base!I35</f>
        <v>45876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>
      <c r="A36" s="13" t="str">
        <f>Base!A36</f>
        <v>Casablanca (MACAS)</v>
      </c>
      <c r="B36" s="14" t="s">
        <v>229</v>
      </c>
      <c r="C36" s="12">
        <f>Base!C36</f>
        <v>55</v>
      </c>
      <c r="D36" s="12" t="str">
        <f>Base!D36</f>
        <v>HAPAG</v>
      </c>
      <c r="E36" s="15">
        <f>SUM(Base!E36+1200)</f>
        <v>2400</v>
      </c>
      <c r="F36" s="15">
        <f>SUM(Base!G36+1400)</f>
        <v>3050</v>
      </c>
      <c r="G36" s="16">
        <f>Base!I36</f>
        <v>45876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>
      <c r="A37" s="13" t="str">
        <f>Base!A37</f>
        <v>Caucedo (DOCAU)</v>
      </c>
      <c r="B37" s="14" t="s">
        <v>229</v>
      </c>
      <c r="C37" s="12">
        <f>Base!C37</f>
        <v>33</v>
      </c>
      <c r="D37" s="12" t="str">
        <f>Base!D37</f>
        <v>MAERSK</v>
      </c>
      <c r="E37" s="15">
        <f>SUM(Base!E37+1200)</f>
        <v>3750</v>
      </c>
      <c r="F37" s="15">
        <f>SUM(Base!G37+1400)</f>
        <v>4250</v>
      </c>
      <c r="G37" s="16">
        <f>Base!I37</f>
        <v>45876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>
      <c r="A38" s="13" t="str">
        <f>Base!A38</f>
        <v>Charleston (USCHS)</v>
      </c>
      <c r="B38" s="14" t="s">
        <v>229</v>
      </c>
      <c r="C38" s="12">
        <f>Base!C38</f>
        <v>42</v>
      </c>
      <c r="D38" s="12" t="str">
        <f>Base!D38</f>
        <v>CMA</v>
      </c>
      <c r="E38" s="15">
        <f>SUM(Base!E38+1200)</f>
        <v>5200</v>
      </c>
      <c r="F38" s="15">
        <f>SUM(Base!G38+1400)</f>
        <v>5550</v>
      </c>
      <c r="G38" s="16">
        <f>Base!I38</f>
        <v>45876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>
      <c r="A39" s="13" t="str">
        <f>Base!A39</f>
        <v>Charlotte (USCLT)</v>
      </c>
      <c r="B39" s="12" t="str">
        <f>Base!B39</f>
        <v>Charleston</v>
      </c>
      <c r="C39" s="12">
        <f>Base!C39</f>
        <v>42</v>
      </c>
      <c r="D39" s="12" t="str">
        <f>Base!D39</f>
        <v>CMA</v>
      </c>
      <c r="E39" s="15">
        <f>SUM(Base!E39+1200)</f>
        <v>6200</v>
      </c>
      <c r="F39" s="15">
        <f>SUM(Base!G39+1400)</f>
        <v>6450</v>
      </c>
      <c r="G39" s="16">
        <f>Base!I39</f>
        <v>45876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>
      <c r="A40" s="13" t="str">
        <f>Base!A40</f>
        <v>Chicago (USCHI)</v>
      </c>
      <c r="B40" s="12" t="str">
        <f>Base!B40</f>
        <v>New York</v>
      </c>
      <c r="C40" s="12">
        <f>Base!C40</f>
        <v>31</v>
      </c>
      <c r="D40" s="12" t="str">
        <f>Base!D40</f>
        <v>HAPAG</v>
      </c>
      <c r="E40" s="15">
        <f>SUM(Base!E40+1200)</f>
        <v>6250</v>
      </c>
      <c r="F40" s="15">
        <f>SUM(Base!G40+1400)</f>
        <v>7000</v>
      </c>
      <c r="G40" s="16">
        <f>Base!I40</f>
        <v>45876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>
      <c r="A41" s="13" t="str">
        <f>Base!A41</f>
        <v>cincinnati (USCVG)</v>
      </c>
      <c r="B41" s="12" t="str">
        <f>Base!B41</f>
        <v>Norfolk</v>
      </c>
      <c r="C41" s="12">
        <f>Base!C41</f>
        <v>47</v>
      </c>
      <c r="D41" s="12" t="str">
        <f>Base!D41</f>
        <v>HAPAG</v>
      </c>
      <c r="E41" s="15">
        <f>SUM(Base!E41+1200)</f>
        <v>6900</v>
      </c>
      <c r="F41" s="15">
        <f>SUM(Base!G41+1400)</f>
        <v>7150</v>
      </c>
      <c r="G41" s="16">
        <f>Base!I41</f>
        <v>45876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>
      <c r="A42" s="13" t="str">
        <f>Base!A42</f>
        <v>Cleveland (USCLE)</v>
      </c>
      <c r="B42" s="12" t="str">
        <f>Base!B42</f>
        <v>New York</v>
      </c>
      <c r="C42" s="12">
        <f>Base!C42</f>
        <v>40</v>
      </c>
      <c r="D42" s="12" t="str">
        <f>Base!D42</f>
        <v>CMA</v>
      </c>
      <c r="E42" s="15">
        <f>SUM(Base!E42+1200)</f>
        <v>6450</v>
      </c>
      <c r="F42" s="15">
        <f>SUM(Base!G42+1400)</f>
        <v>7150</v>
      </c>
      <c r="G42" s="16">
        <f>Base!I42</f>
        <v>45876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>
      <c r="A43" s="13" t="str">
        <f>Base!A43</f>
        <v>Copenhagen (DKCPH)</v>
      </c>
      <c r="B43" s="14" t="s">
        <v>229</v>
      </c>
      <c r="C43" s="12">
        <f>Base!C43</f>
        <v>35</v>
      </c>
      <c r="D43" s="12" t="str">
        <f>Base!D43</f>
        <v>CMA</v>
      </c>
      <c r="E43" s="15"/>
      <c r="F43" s="15">
        <f>SUM(Base!G43+1400)</f>
        <v>3600</v>
      </c>
      <c r="G43" s="16">
        <f>Base!I43</f>
        <v>45876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3" t="str">
        <f>Base!A44</f>
        <v>Copenhagen (DKCPH)</v>
      </c>
      <c r="B44" s="14" t="s">
        <v>229</v>
      </c>
      <c r="C44" s="12">
        <f>Base!C44</f>
        <v>51</v>
      </c>
      <c r="D44" s="12" t="str">
        <f>Base!D44</f>
        <v>HAPAG</v>
      </c>
      <c r="E44" s="15">
        <f>SUM(Base!E44+1200)</f>
        <v>2700</v>
      </c>
      <c r="F44" s="15">
        <f>SUM(Base!G44+1400)</f>
        <v>3950</v>
      </c>
      <c r="G44" s="16">
        <f>Base!I44</f>
        <v>45876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>
      <c r="A45" s="13" t="str">
        <f>Base!A45</f>
        <v>Dakar</v>
      </c>
      <c r="B45" s="14" t="s">
        <v>229</v>
      </c>
      <c r="C45" s="12">
        <f>Base!C45</f>
        <v>30</v>
      </c>
      <c r="D45" s="12" t="str">
        <f>Base!D45</f>
        <v>CMA</v>
      </c>
      <c r="E45" s="15">
        <f>SUM(Base!E45+1200)</f>
        <v>3350</v>
      </c>
      <c r="F45" s="15">
        <f>SUM(Base!G45+1400)</f>
        <v>4500</v>
      </c>
      <c r="G45" s="16">
        <f>Base!I45</f>
        <v>45876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>
      <c r="A46" s="13" t="str">
        <f>Base!A46</f>
        <v>Dallas (USDAL)</v>
      </c>
      <c r="B46" s="12" t="str">
        <f>Base!B46</f>
        <v>Houston</v>
      </c>
      <c r="C46" s="12">
        <f>Base!C46</f>
        <v>44</v>
      </c>
      <c r="D46" s="12" t="str">
        <f>Base!D46</f>
        <v>HAPAG</v>
      </c>
      <c r="E46" s="15">
        <f>SUM(Base!E46+1200)</f>
        <v>5450</v>
      </c>
      <c r="F46" s="15">
        <f>SUM(Base!G46+1400)</f>
        <v>5900</v>
      </c>
      <c r="G46" s="16">
        <f>Base!I46</f>
        <v>45876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>
      <c r="A47" s="13" t="str">
        <f>Base!A47</f>
        <v>Dar Es Salamm (TZDAR)</v>
      </c>
      <c r="B47" s="14" t="s">
        <v>229</v>
      </c>
      <c r="C47" s="12">
        <f>Base!C47</f>
        <v>62</v>
      </c>
      <c r="D47" s="12" t="str">
        <f>Base!D47</f>
        <v>MAERSK</v>
      </c>
      <c r="E47" s="15">
        <f>SUM(Base!E47+1200)</f>
        <v>5150</v>
      </c>
      <c r="F47" s="15">
        <f>SUM(Base!G47+1400)</f>
        <v>6000</v>
      </c>
      <c r="G47" s="16">
        <f>Base!I47</f>
        <v>45876</v>
      </c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>
      <c r="A48" s="13" t="str">
        <f>Base!A48</f>
        <v>Denver (USDEN)</v>
      </c>
      <c r="B48" s="12" t="str">
        <f>Base!B48</f>
        <v>Houston</v>
      </c>
      <c r="C48" s="12">
        <f>Base!C48</f>
        <v>47</v>
      </c>
      <c r="D48" s="12" t="str">
        <f>Base!D48</f>
        <v>HAPAG</v>
      </c>
      <c r="E48" s="15">
        <f>SUM(Base!E48+1200)</f>
        <v>6850</v>
      </c>
      <c r="F48" s="15">
        <f>SUM(Base!G48+1400)</f>
        <v>7400</v>
      </c>
      <c r="G48" s="16">
        <f>Base!I48</f>
        <v>45876</v>
      </c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>
      <c r="A49" s="13" t="str">
        <f>Base!A49</f>
        <v>Detroit (USDET)</v>
      </c>
      <c r="B49" s="12" t="str">
        <f>Base!B49</f>
        <v>Norfolk</v>
      </c>
      <c r="C49" s="12">
        <f>Base!C49</f>
        <v>49</v>
      </c>
      <c r="D49" s="12" t="str">
        <f>Base!D49</f>
        <v>HAPAG</v>
      </c>
      <c r="E49" s="15">
        <f>SUM(Base!E49+1200)</f>
        <v>7800</v>
      </c>
      <c r="F49" s="15">
        <f>SUM(Base!G49+1400)</f>
        <v>8150</v>
      </c>
      <c r="G49" s="16">
        <f>Base!I49</f>
        <v>45876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>
      <c r="A50" s="13" t="str">
        <f>Base!A50</f>
        <v>Doha - QADOH</v>
      </c>
      <c r="B50" s="14" t="s">
        <v>229</v>
      </c>
      <c r="C50" s="12">
        <f>Base!C50</f>
        <v>56</v>
      </c>
      <c r="D50" s="12" t="str">
        <f>Base!D50</f>
        <v>MAERSK</v>
      </c>
      <c r="E50" s="15">
        <f>SUM(Base!E50+1200)</f>
        <v>2900</v>
      </c>
      <c r="F50" s="15">
        <f>SUM(Base!G50+1400)</f>
        <v>2750</v>
      </c>
      <c r="G50" s="16">
        <f>Base!I50</f>
        <v>45876</v>
      </c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>
      <c r="A51" s="13" t="str">
        <f>Base!A51</f>
        <v>Dubai - AEDXB</v>
      </c>
      <c r="B51" s="12" t="str">
        <f>Base!B51</f>
        <v>Jebel Ali</v>
      </c>
      <c r="C51" s="12">
        <f>Base!C51</f>
        <v>55</v>
      </c>
      <c r="D51" s="12" t="str">
        <f>Base!D51</f>
        <v>MAERSK</v>
      </c>
      <c r="E51" s="15">
        <f>SUM(Base!E51+1200)</f>
        <v>3100</v>
      </c>
      <c r="F51" s="15">
        <f>SUM(Base!G51+1400)</f>
        <v>2800</v>
      </c>
      <c r="G51" s="16">
        <f>Base!I51</f>
        <v>45876</v>
      </c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>
      <c r="A52" s="13" t="str">
        <f>Base!A52</f>
        <v>Dublin (IEDUB)</v>
      </c>
      <c r="B52" s="14" t="s">
        <v>229</v>
      </c>
      <c r="C52" s="12">
        <f>Base!C52</f>
        <v>30</v>
      </c>
      <c r="D52" s="12" t="str">
        <f>Base!D52</f>
        <v>MAERSK</v>
      </c>
      <c r="E52" s="15">
        <f>SUM(Base!E52+1200)</f>
        <v>2400</v>
      </c>
      <c r="F52" s="15">
        <f>SUM(Base!G52+1400)</f>
        <v>2900</v>
      </c>
      <c r="G52" s="16">
        <f>Base!I52</f>
        <v>45876</v>
      </c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>
      <c r="A53" s="13" t="str">
        <f>Base!A53</f>
        <v>Durban (ZADUR)</v>
      </c>
      <c r="B53" s="14" t="s">
        <v>229</v>
      </c>
      <c r="C53" s="12">
        <f>Base!C53</f>
        <v>26</v>
      </c>
      <c r="D53" s="12" t="str">
        <f>Base!D53</f>
        <v>MAERSK</v>
      </c>
      <c r="E53" s="15">
        <f>SUM(Base!E53+1200)</f>
        <v>2800</v>
      </c>
      <c r="F53" s="15">
        <f>SUM(Base!G53+1400)</f>
        <v>2900</v>
      </c>
      <c r="G53" s="16">
        <f>Base!I53</f>
        <v>45876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>
      <c r="A54" s="13" t="str">
        <f>Base!A54</f>
        <v>Edmonton</v>
      </c>
      <c r="B54" s="12" t="str">
        <f>Base!B54</f>
        <v>Vancouver</v>
      </c>
      <c r="C54" s="12">
        <f>Base!C54</f>
        <v>64</v>
      </c>
      <c r="D54" s="12" t="str">
        <f>Base!D54</f>
        <v>MSC</v>
      </c>
      <c r="E54" s="15">
        <f>SUM(Base!E54+1200)</f>
        <v>7000</v>
      </c>
      <c r="F54" s="15">
        <f>SUM(Base!G54+1400)</f>
        <v>8000</v>
      </c>
      <c r="G54" s="16">
        <f>Base!I54</f>
        <v>45876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>
      <c r="A55" s="13" t="str">
        <f>Base!A55</f>
        <v>Estocolmo(SESTO)</v>
      </c>
      <c r="B55" s="14" t="s">
        <v>229</v>
      </c>
      <c r="C55" s="12">
        <f>Base!C55</f>
        <v>35</v>
      </c>
      <c r="D55" s="12" t="str">
        <f>Base!D55</f>
        <v>CMA</v>
      </c>
      <c r="E55" s="15">
        <f>SUM(Base!E55+1200)</f>
        <v>3700</v>
      </c>
      <c r="F55" s="15">
        <f>SUM(Base!G55+1400)</f>
        <v>4000</v>
      </c>
      <c r="G55" s="16">
        <f>Base!I55</f>
        <v>45876</v>
      </c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>
      <c r="A56" s="13" t="str">
        <f>Base!A56</f>
        <v>Felixstowe (GBFXT)</v>
      </c>
      <c r="B56" s="14" t="s">
        <v>229</v>
      </c>
      <c r="C56" s="12">
        <f>Base!C56</f>
        <v>71</v>
      </c>
      <c r="D56" s="12" t="str">
        <f>Base!D56</f>
        <v>HAPAG</v>
      </c>
      <c r="E56" s="15">
        <f>SUM(Base!E56+1200)</f>
        <v>3350</v>
      </c>
      <c r="F56" s="15">
        <f>SUM(Base!G56+1400)</f>
        <v>4400</v>
      </c>
      <c r="G56" s="16">
        <f>Base!I56</f>
        <v>45876</v>
      </c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3" t="str">
        <f>Base!A57</f>
        <v>Felixstowe (GBFXT)</v>
      </c>
      <c r="B57" s="14" t="s">
        <v>229</v>
      </c>
      <c r="C57" s="12">
        <f>Base!C57</f>
        <v>45</v>
      </c>
      <c r="D57" s="12" t="str">
        <f>Base!D57</f>
        <v>MSC</v>
      </c>
      <c r="E57" s="15">
        <f>SUM(Base!E57+1200)</f>
        <v>4000</v>
      </c>
      <c r="F57" s="15">
        <f>SUM(Base!G57+1400)</f>
        <v>5100</v>
      </c>
      <c r="G57" s="16">
        <f>Base!I57</f>
        <v>45876</v>
      </c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>
      <c r="A58" s="13" t="str">
        <f>Base!A58</f>
        <v>Fos Sur Mer (FRFOS)</v>
      </c>
      <c r="B58" s="14" t="s">
        <v>229</v>
      </c>
      <c r="C58" s="12">
        <f>Base!C58</f>
        <v>51</v>
      </c>
      <c r="D58" s="12" t="str">
        <f>Base!D58</f>
        <v>HAPAG</v>
      </c>
      <c r="E58" s="15">
        <f>SUM(Base!E58+1200)</f>
        <v>2650</v>
      </c>
      <c r="F58" s="15">
        <f>SUM(Base!G58+1400)</f>
        <v>3250</v>
      </c>
      <c r="G58" s="16">
        <f>Base!I58</f>
        <v>45876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>
      <c r="A59" s="13" t="str">
        <f>Base!A59</f>
        <v>Fremantle (AUFRE)</v>
      </c>
      <c r="B59" s="14" t="s">
        <v>229</v>
      </c>
      <c r="C59" s="12">
        <f>Base!C59</f>
        <v>44</v>
      </c>
      <c r="D59" s="12" t="str">
        <f>Base!D59</f>
        <v>MAERSK</v>
      </c>
      <c r="E59" s="15">
        <f>SUM(Base!E59+1200)</f>
        <v>2650</v>
      </c>
      <c r="F59" s="15">
        <f>SUM(Base!G59+1400)</f>
        <v>3100</v>
      </c>
      <c r="G59" s="16">
        <f>Base!I59</f>
        <v>45876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>
      <c r="A60" s="13" t="str">
        <f>Base!A60</f>
        <v>Gdansk (PLGDN)</v>
      </c>
      <c r="B60" s="14" t="s">
        <v>229</v>
      </c>
      <c r="C60" s="12">
        <f>Base!C60</f>
        <v>43</v>
      </c>
      <c r="D60" s="12" t="str">
        <f>Base!D60</f>
        <v>MAERSK</v>
      </c>
      <c r="E60" s="15">
        <f>SUM(Base!E60+1200)</f>
        <v>2050</v>
      </c>
      <c r="F60" s="15">
        <f>SUM(Base!G60+1400)</f>
        <v>2550</v>
      </c>
      <c r="G60" s="16">
        <f>Base!I60</f>
        <v>45876</v>
      </c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>
      <c r="A61" s="13" t="str">
        <f>Base!A61</f>
        <v>Gdynia (PLGDY)</v>
      </c>
      <c r="B61" s="12" t="str">
        <f>Base!B61</f>
        <v>Gdansk</v>
      </c>
      <c r="C61" s="12">
        <f>Base!C61</f>
        <v>46</v>
      </c>
      <c r="D61" s="12" t="str">
        <f>Base!D61</f>
        <v>MAERSK</v>
      </c>
      <c r="E61" s="15">
        <f>SUM(Base!E61+1200)</f>
        <v>2350</v>
      </c>
      <c r="F61" s="15">
        <f>SUM(Base!G61+1400)</f>
        <v>2900</v>
      </c>
      <c r="G61" s="16">
        <f>Base!I61</f>
        <v>45876</v>
      </c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>
      <c r="A62" s="13" t="str">
        <f>Base!A62</f>
        <v>Geneve (CHGVA)</v>
      </c>
      <c r="B62" s="12" t="str">
        <f>Base!B62</f>
        <v>Antwerp</v>
      </c>
      <c r="C62" s="12">
        <f>Base!C62</f>
        <v>44</v>
      </c>
      <c r="D62" s="12" t="str">
        <f>Base!D62</f>
        <v>HAPAG</v>
      </c>
      <c r="E62" s="15">
        <f>SUM(Base!E62+1200)</f>
        <v>4650</v>
      </c>
      <c r="F62" s="15">
        <f>SUM(Base!G62+1400)</f>
        <v>5250</v>
      </c>
      <c r="G62" s="16">
        <f>Base!I62</f>
        <v>45876</v>
      </c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>
      <c r="A63" s="13" t="str">
        <f>Base!A63</f>
        <v>Genoa (ITGOA)</v>
      </c>
      <c r="B63" s="14" t="s">
        <v>229</v>
      </c>
      <c r="C63" s="12">
        <f>Base!C63</f>
        <v>42</v>
      </c>
      <c r="D63" s="12" t="str">
        <f>Base!D63</f>
        <v>HAPAG</v>
      </c>
      <c r="E63" s="15">
        <f>SUM(Base!E63+1200)</f>
        <v>2150</v>
      </c>
      <c r="F63" s="15">
        <f>SUM(Base!G63+1400)</f>
        <v>2750</v>
      </c>
      <c r="G63" s="16">
        <f>Base!I63</f>
        <v>45876</v>
      </c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>
      <c r="A64" s="13" t="str">
        <f>Base!A64</f>
        <v>Genoa (ITGOA)</v>
      </c>
      <c r="B64" s="14" t="s">
        <v>229</v>
      </c>
      <c r="C64" s="12">
        <f>Base!C64</f>
        <v>32</v>
      </c>
      <c r="D64" s="12" t="str">
        <f>Base!D64</f>
        <v>MAERSK</v>
      </c>
      <c r="E64" s="15">
        <f>SUM(Base!E64+1200)</f>
        <v>2250</v>
      </c>
      <c r="F64" s="15">
        <f>SUM(Base!G64+1400)</f>
        <v>2750</v>
      </c>
      <c r="G64" s="16">
        <f>Base!I64</f>
        <v>45876</v>
      </c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>
      <c r="A65" s="13" t="str">
        <f>Base!A65</f>
        <v>Georgetown</v>
      </c>
      <c r="B65" s="14" t="s">
        <v>229</v>
      </c>
      <c r="C65" s="12">
        <f>Base!C65</f>
        <v>38</v>
      </c>
      <c r="D65" s="12" t="str">
        <f>Base!D65</f>
        <v>CMA</v>
      </c>
      <c r="E65" s="15">
        <f>SUM(Base!E65+1200)</f>
        <v>4800</v>
      </c>
      <c r="F65" s="15">
        <f>SUM(Base!G65+1400)</f>
        <v>6050</v>
      </c>
      <c r="G65" s="16" t="str">
        <f>Base!I65</f>
        <v/>
      </c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>
      <c r="A66" s="13" t="str">
        <f>Base!A66</f>
        <v>Grangemouth (GBGRG)</v>
      </c>
      <c r="B66" s="12" t="str">
        <f>Base!B66</f>
        <v>Rotterdam</v>
      </c>
      <c r="C66" s="12">
        <f>Base!C66</f>
        <v>37</v>
      </c>
      <c r="D66" s="12" t="str">
        <f>Base!D66</f>
        <v>MAERSK</v>
      </c>
      <c r="E66" s="15">
        <f>SUM(Base!E66+1200)</f>
        <v>2400</v>
      </c>
      <c r="F66" s="15">
        <f>SUM(Base!G66+1400)</f>
        <v>2850</v>
      </c>
      <c r="G66" s="16">
        <f>Base!I66</f>
        <v>45876</v>
      </c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>
      <c r="A67" s="13" t="str">
        <f>Base!A67</f>
        <v>Guayaquil (ECQYE)</v>
      </c>
      <c r="B67" s="14" t="s">
        <v>229</v>
      </c>
      <c r="C67" s="12">
        <f>Base!C67</f>
        <v>26</v>
      </c>
      <c r="D67" s="12" t="str">
        <f>Base!D67</f>
        <v>HAPAG</v>
      </c>
      <c r="E67" s="15">
        <f>SUM(Base!E67+1200)</f>
        <v>3950</v>
      </c>
      <c r="F67" s="15">
        <f>SUM(Base!G67+1400)</f>
        <v>4450</v>
      </c>
      <c r="G67" s="16">
        <f>Base!I67</f>
        <v>45876</v>
      </c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>
      <c r="A68" s="13" t="str">
        <f>Base!A68</f>
        <v>Haifa - ILHFA</v>
      </c>
      <c r="B68" s="14" t="s">
        <v>229</v>
      </c>
      <c r="C68" s="12">
        <f>Base!C68</f>
        <v>49</v>
      </c>
      <c r="D68" s="12" t="str">
        <f>Base!D68</f>
        <v>MAERSK</v>
      </c>
      <c r="E68" s="15">
        <f>SUM(Base!E68+1200)</f>
        <v>1900</v>
      </c>
      <c r="F68" s="15">
        <f>SUM(Base!G68+1400)</f>
        <v>2450</v>
      </c>
      <c r="G68" s="16">
        <f>Base!I68</f>
        <v>45876</v>
      </c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>
      <c r="A69" s="13" t="str">
        <f>Base!A69</f>
        <v>Hamburg (DEHAM)</v>
      </c>
      <c r="B69" s="14" t="s">
        <v>229</v>
      </c>
      <c r="C69" s="12">
        <f>Base!C69</f>
        <v>45</v>
      </c>
      <c r="D69" s="12" t="str">
        <f>Base!D69</f>
        <v>HAPAG</v>
      </c>
      <c r="E69" s="15">
        <f>SUM(Base!E69+1200)</f>
        <v>2350</v>
      </c>
      <c r="F69" s="15">
        <f>SUM(Base!G69+1400)</f>
        <v>2600</v>
      </c>
      <c r="G69" s="16">
        <f>Base!I69</f>
        <v>45876</v>
      </c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3" t="str">
        <f>Base!A70</f>
        <v>Hammad Port - QAHMD</v>
      </c>
      <c r="B70" s="14" t="s">
        <v>229</v>
      </c>
      <c r="C70" s="12">
        <f>Base!C70</f>
        <v>53</v>
      </c>
      <c r="D70" s="12" t="str">
        <f>Base!D70</f>
        <v>MSC</v>
      </c>
      <c r="E70" s="15">
        <f>SUM(Base!E70+1200)</f>
        <v>5100</v>
      </c>
      <c r="F70" s="15">
        <f>SUM(Base!G70+1400)</f>
        <v>7300</v>
      </c>
      <c r="G70" s="16">
        <f>Base!I70</f>
        <v>45876</v>
      </c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>
      <c r="A71" s="13" t="str">
        <f>Base!A71</f>
        <v>Hong Kong - HKHKG</v>
      </c>
      <c r="B71" s="14" t="s">
        <v>229</v>
      </c>
      <c r="C71" s="12">
        <f>Base!C71</f>
        <v>42</v>
      </c>
      <c r="D71" s="12" t="str">
        <f>Base!D71</f>
        <v>CMA</v>
      </c>
      <c r="E71" s="15">
        <f>SUM(Base!E71+1200)</f>
        <v>1900</v>
      </c>
      <c r="F71" s="15">
        <f>SUM(Base!G71+1400)</f>
        <v>2100</v>
      </c>
      <c r="G71" s="16">
        <f>Base!I71</f>
        <v>45876</v>
      </c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>
      <c r="A72" s="13" t="str">
        <f>Base!A72</f>
        <v>Houston (USHOU)</v>
      </c>
      <c r="B72" s="14" t="s">
        <v>229</v>
      </c>
      <c r="C72" s="12">
        <f>Base!C72</f>
        <v>33</v>
      </c>
      <c r="D72" s="12" t="str">
        <f>Base!D72</f>
        <v>CMA</v>
      </c>
      <c r="E72" s="15">
        <f>SUM(Base!E72+1200)</f>
        <v>4700</v>
      </c>
      <c r="F72" s="15">
        <f>SUM(Base!G72+1400)</f>
        <v>5100</v>
      </c>
      <c r="G72" s="16">
        <f>Base!I72</f>
        <v>45876</v>
      </c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>
      <c r="A73" s="13" t="str">
        <f>Base!A73</f>
        <v>Hyderabad - INHYD</v>
      </c>
      <c r="B73" s="12" t="str">
        <f>Base!B73</f>
        <v>Jawaharlal Nehru</v>
      </c>
      <c r="C73" s="12">
        <f>Base!C73</f>
        <v>79</v>
      </c>
      <c r="D73" s="12" t="str">
        <f>Base!D73</f>
        <v>MAERSK</v>
      </c>
      <c r="E73" s="15">
        <f>SUM(Base!E73+1200)</f>
        <v>3050</v>
      </c>
      <c r="F73" s="15">
        <f>SUM(Base!G73+1400)</f>
        <v>3950</v>
      </c>
      <c r="G73" s="16">
        <f>Base!I73</f>
        <v>45876</v>
      </c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>
      <c r="A74" s="13" t="str">
        <f>Base!A74</f>
        <v>Imbituba (BRIBB)</v>
      </c>
      <c r="B74" s="14" t="s">
        <v>229</v>
      </c>
      <c r="C74" s="12">
        <f>Base!C74</f>
        <v>8</v>
      </c>
      <c r="D74" s="12" t="str">
        <f>Base!D74</f>
        <v>Mercosul</v>
      </c>
      <c r="E74" s="15">
        <f>SUM(Base!E74+1200)</f>
        <v>1700</v>
      </c>
      <c r="F74" s="15">
        <f>SUM(Base!G74+1400)</f>
        <v>2000</v>
      </c>
      <c r="G74" s="16">
        <f>Base!I74</f>
        <v>45876</v>
      </c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>
      <c r="A75" s="13" t="str">
        <f>Base!A75</f>
        <v>Inchon (Incheon) - KRINC</v>
      </c>
      <c r="B75" s="14" t="s">
        <v>229</v>
      </c>
      <c r="C75" s="12">
        <f>Base!C75</f>
        <v>47</v>
      </c>
      <c r="D75" s="12" t="str">
        <f>Base!D75</f>
        <v>MAERSK</v>
      </c>
      <c r="E75" s="15">
        <f>SUM(Base!E75+1200)</f>
        <v>2400</v>
      </c>
      <c r="F75" s="15">
        <f>SUM(Base!G75+1400)</f>
        <v>2750</v>
      </c>
      <c r="G75" s="16">
        <f>Base!I75</f>
        <v>45876</v>
      </c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>
      <c r="A76" s="13" t="str">
        <f>Base!A76</f>
        <v>Itajai (BRITJ)</v>
      </c>
      <c r="B76" s="14" t="s">
        <v>229</v>
      </c>
      <c r="C76" s="12">
        <f>Base!C76</f>
        <v>8</v>
      </c>
      <c r="D76" s="12" t="str">
        <f>Base!D76</f>
        <v>Mercosul</v>
      </c>
      <c r="E76" s="15">
        <f>SUM(Base!E76+1200)</f>
        <v>1650</v>
      </c>
      <c r="F76" s="15">
        <f>SUM(Base!G76+1400)</f>
        <v>2000</v>
      </c>
      <c r="G76" s="16">
        <f>Base!I76</f>
        <v>45876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>
      <c r="A77" s="13" t="str">
        <f>Base!A77</f>
        <v>Itapoa (BRIOA)</v>
      </c>
      <c r="B77" s="14" t="s">
        <v>229</v>
      </c>
      <c r="C77" s="12">
        <f>Base!C77</f>
        <v>15</v>
      </c>
      <c r="D77" s="12" t="str">
        <f>Base!D77</f>
        <v>Mercosul</v>
      </c>
      <c r="E77" s="15">
        <f>SUM(Base!E77+1200)</f>
        <v>1800</v>
      </c>
      <c r="F77" s="15">
        <f>SUM(Base!G77+1400)</f>
        <v>2150</v>
      </c>
      <c r="G77" s="16">
        <f>Base!I77</f>
        <v>45876</v>
      </c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>
      <c r="A78" s="13" t="str">
        <f>Base!A78</f>
        <v>Jacksonville (USJAX)</v>
      </c>
      <c r="B78" s="14" t="s">
        <v>229</v>
      </c>
      <c r="C78" s="12">
        <f>Base!C78</f>
        <v>30</v>
      </c>
      <c r="D78" s="12" t="str">
        <f>Base!D78</f>
        <v>HAPAG</v>
      </c>
      <c r="E78" s="15">
        <f>SUM(Base!E78+1200)</f>
        <v>5800</v>
      </c>
      <c r="F78" s="15">
        <f>SUM(Base!G78+1400)</f>
        <v>6000</v>
      </c>
      <c r="G78" s="16">
        <f>Base!I78</f>
        <v>45876</v>
      </c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>
      <c r="A79" s="13" t="str">
        <f>Base!A79</f>
        <v>Jakarta - IDJKT</v>
      </c>
      <c r="B79" s="14" t="s">
        <v>229</v>
      </c>
      <c r="C79" s="12">
        <f>Base!C79</f>
        <v>44</v>
      </c>
      <c r="D79" s="12" t="str">
        <f>Base!D79</f>
        <v>MAERSK</v>
      </c>
      <c r="E79" s="15">
        <f>SUM(Base!E79+1200)</f>
        <v>2150</v>
      </c>
      <c r="F79" s="15">
        <f>SUM(Base!G79+1400)</f>
        <v>2350</v>
      </c>
      <c r="G79" s="16">
        <f>Base!I79</f>
        <v>45876</v>
      </c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>
      <c r="A80" s="13" t="str">
        <f>Base!A80</f>
        <v>Jebel Ali - AEJEA</v>
      </c>
      <c r="B80" s="14" t="s">
        <v>229</v>
      </c>
      <c r="C80" s="12">
        <f>Base!C80</f>
        <v>71</v>
      </c>
      <c r="D80" s="12" t="str">
        <f>Base!D80</f>
        <v>HAPAG</v>
      </c>
      <c r="E80" s="15">
        <f>SUM(Base!E80+1200)</f>
        <v>2600</v>
      </c>
      <c r="F80" s="15">
        <f>SUM(Base!G80+1400)</f>
        <v>2350</v>
      </c>
      <c r="G80" s="16">
        <f>Base!I80</f>
        <v>45876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>
      <c r="A81" s="13" t="str">
        <f>Base!A81</f>
        <v>Jebel Ali - AEJEA</v>
      </c>
      <c r="B81" s="14" t="s">
        <v>229</v>
      </c>
      <c r="C81" s="12">
        <f>Base!C81</f>
        <v>47</v>
      </c>
      <c r="D81" s="12" t="str">
        <f>Base!D81</f>
        <v>MAERSK</v>
      </c>
      <c r="E81" s="15">
        <f>SUM(Base!E81+1200)</f>
        <v>2900</v>
      </c>
      <c r="F81" s="15">
        <f>SUM(Base!G81+1400)</f>
        <v>2350</v>
      </c>
      <c r="G81" s="16">
        <f>Base!I81</f>
        <v>45876</v>
      </c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>
      <c r="A82" s="13" t="str">
        <f>Base!A82</f>
        <v>Jeddah - SAJED</v>
      </c>
      <c r="B82" s="14" t="s">
        <v>229</v>
      </c>
      <c r="C82" s="12">
        <f>Base!C82</f>
        <v>42</v>
      </c>
      <c r="D82" s="12" t="str">
        <f>Base!D82</f>
        <v>MAERSK</v>
      </c>
      <c r="E82" s="15">
        <f>SUM(Base!E82+1200)</f>
        <v>2900</v>
      </c>
      <c r="F82" s="15">
        <f>SUM(Base!G82+1400)</f>
        <v>2750</v>
      </c>
      <c r="G82" s="16">
        <f>Base!I82</f>
        <v>45876</v>
      </c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3" t="str">
        <f>Base!A83</f>
        <v>Johannesburg (ZAJBN)</v>
      </c>
      <c r="B83" s="12" t="str">
        <f>Base!B83</f>
        <v>Durban</v>
      </c>
      <c r="C83" s="12">
        <f>Base!C83</f>
        <v>32</v>
      </c>
      <c r="D83" s="12" t="str">
        <f>Base!D83</f>
        <v>MAERSK</v>
      </c>
      <c r="E83" s="15">
        <f>SUM(Base!E83+1200)</f>
        <v>3100</v>
      </c>
      <c r="F83" s="15">
        <f>SUM(Base!G83+1400)</f>
        <v>3650</v>
      </c>
      <c r="G83" s="16">
        <f>Base!I83</f>
        <v>45876</v>
      </c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>
      <c r="A84" s="13" t="str">
        <f>Base!A84</f>
        <v>Kansas City (USKCK)</v>
      </c>
      <c r="B84" s="12" t="str">
        <f>Base!B84</f>
        <v>Norfolk</v>
      </c>
      <c r="C84" s="12">
        <f>Base!C84</f>
        <v>47</v>
      </c>
      <c r="D84" s="12" t="str">
        <f>Base!D84</f>
        <v>HAPAG</v>
      </c>
      <c r="E84" s="15">
        <f>SUM(Base!E84+1200)</f>
        <v>7150</v>
      </c>
      <c r="F84" s="15">
        <f>SUM(Base!G84+1400)</f>
        <v>7350</v>
      </c>
      <c r="G84" s="16">
        <f>Base!I84</f>
        <v>45876</v>
      </c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>
      <c r="A85" s="13" t="str">
        <f>Base!A85</f>
        <v>Karachi - PKKHI</v>
      </c>
      <c r="B85" s="14" t="s">
        <v>229</v>
      </c>
      <c r="C85" s="12">
        <f>Base!C85</f>
        <v>47</v>
      </c>
      <c r="D85" s="12" t="str">
        <f>Base!D85</f>
        <v>CMA</v>
      </c>
      <c r="E85" s="15">
        <f>SUM(Base!E85+1200)</f>
        <v>2900</v>
      </c>
      <c r="F85" s="15">
        <f>SUM(Base!G85+1400)</f>
        <v>3650</v>
      </c>
      <c r="G85" s="16">
        <f>Base!I85</f>
        <v>45876</v>
      </c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>
      <c r="A86" s="13" t="str">
        <f>Base!A86</f>
        <v>Keelung - TWKEL</v>
      </c>
      <c r="B86" s="14" t="s">
        <v>229</v>
      </c>
      <c r="C86" s="12">
        <f>Base!C86</f>
        <v>46</v>
      </c>
      <c r="D86" s="12" t="str">
        <f>Base!D86</f>
        <v>MAERSK</v>
      </c>
      <c r="E86" s="15">
        <f>SUM(Base!E86+1200)</f>
        <v>2200</v>
      </c>
      <c r="F86" s="15">
        <f>SUM(Base!G86+1400)</f>
        <v>2350</v>
      </c>
      <c r="G86" s="16">
        <f>Base!I86</f>
        <v>45876</v>
      </c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>
      <c r="A87" s="13" t="str">
        <f>Base!A87</f>
        <v>Klang - MYPKG</v>
      </c>
      <c r="B87" s="14" t="s">
        <v>229</v>
      </c>
      <c r="C87" s="12">
        <f>Base!C87</f>
        <v>47</v>
      </c>
      <c r="D87" s="12" t="str">
        <f>Base!D87</f>
        <v>MAERSK</v>
      </c>
      <c r="E87" s="15">
        <f>SUM(Base!E87+1200)</f>
        <v>2100</v>
      </c>
      <c r="F87" s="15">
        <f>SUM(Base!G87+1400)</f>
        <v>2350</v>
      </c>
      <c r="G87" s="16">
        <f>Base!I87</f>
        <v>45876</v>
      </c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>
      <c r="A88" s="13" t="str">
        <f>Base!A88</f>
        <v>Koper (SIKOP)</v>
      </c>
      <c r="B88" s="14" t="s">
        <v>229</v>
      </c>
      <c r="C88" s="12">
        <f>Base!C88</f>
        <v>37</v>
      </c>
      <c r="D88" s="12" t="str">
        <f>Base!D88</f>
        <v>MAERSK</v>
      </c>
      <c r="E88" s="15">
        <f>SUM(Base!E88+1200)</f>
        <v>2550</v>
      </c>
      <c r="F88" s="15">
        <f>SUM(Base!G88+1400)</f>
        <v>2850</v>
      </c>
      <c r="G88" s="16">
        <f>Base!I88</f>
        <v>45876</v>
      </c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>
      <c r="A89" s="13" t="str">
        <f>Base!A89</f>
        <v>La Guaira (VELAG)</v>
      </c>
      <c r="B89" s="14" t="s">
        <v>229</v>
      </c>
      <c r="C89" s="12">
        <f>Base!C89</f>
        <v>34</v>
      </c>
      <c r="D89" s="12" t="str">
        <f>Base!D89</f>
        <v>MAERSK</v>
      </c>
      <c r="E89" s="15">
        <f>SUM(Base!E89+1200)</f>
        <v>4850</v>
      </c>
      <c r="F89" s="15">
        <f>SUM(Base!G89+1400)</f>
        <v>5600</v>
      </c>
      <c r="G89" s="16">
        <f>Base!I89</f>
        <v>45876</v>
      </c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>
      <c r="A90" s="13" t="str">
        <f>Base!A90</f>
        <v>Le Havre (FRLEH)</v>
      </c>
      <c r="B90" s="14" t="s">
        <v>229</v>
      </c>
      <c r="C90" s="12">
        <f>Base!C90</f>
        <v>38</v>
      </c>
      <c r="D90" s="12" t="str">
        <f>Base!D90</f>
        <v>CMA</v>
      </c>
      <c r="E90" s="15">
        <f>SUM(Base!E90+1200)</f>
        <v>2800</v>
      </c>
      <c r="F90" s="15">
        <f>SUM(Base!G90+1400)</f>
        <v>3300</v>
      </c>
      <c r="G90" s="16">
        <f>Base!I90</f>
        <v>45876</v>
      </c>
      <c r="H90" s="14" t="s">
        <v>230</v>
      </c>
      <c r="I90" s="14" t="s">
        <v>231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>
      <c r="A91" s="13" t="str">
        <f>Base!A91</f>
        <v>Lima (PELIM)</v>
      </c>
      <c r="B91" s="12" t="str">
        <f>Base!B91</f>
        <v>Callao</v>
      </c>
      <c r="C91" s="12">
        <f>Base!C91</f>
        <v>32</v>
      </c>
      <c r="D91" s="12" t="str">
        <f>Base!D91</f>
        <v>MAERSK</v>
      </c>
      <c r="E91" s="15">
        <f>SUM(Base!E91+1200)</f>
        <v>4650</v>
      </c>
      <c r="F91" s="15">
        <f>SUM(Base!G91+1400)</f>
        <v>5150</v>
      </c>
      <c r="G91" s="16">
        <f>Base!I91</f>
        <v>45876</v>
      </c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>
      <c r="A92" s="13" t="str">
        <f>Base!A92</f>
        <v>Lisboa (PTLIS)</v>
      </c>
      <c r="B92" s="14" t="s">
        <v>229</v>
      </c>
      <c r="C92" s="12">
        <f>Base!C92</f>
        <v>34</v>
      </c>
      <c r="D92" s="12" t="str">
        <f>Base!D92</f>
        <v>MAERSK</v>
      </c>
      <c r="E92" s="15">
        <f>SUM(Base!E92+1200)</f>
        <v>2100</v>
      </c>
      <c r="F92" s="15">
        <f>SUM(Base!G92+1400)</f>
        <v>2550</v>
      </c>
      <c r="G92" s="16">
        <f>Base!I92</f>
        <v>45876</v>
      </c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>
      <c r="A93" s="13" t="str">
        <f>Base!A93</f>
        <v>Liverpool (GBLIV)</v>
      </c>
      <c r="B93" s="14" t="s">
        <v>229</v>
      </c>
      <c r="C93" s="12">
        <f>Base!C93</f>
        <v>29</v>
      </c>
      <c r="D93" s="12" t="str">
        <f>Base!D93</f>
        <v>HAPAG</v>
      </c>
      <c r="E93" s="15">
        <f>SUM(Base!E93+1200)</f>
        <v>2550</v>
      </c>
      <c r="F93" s="15">
        <f>SUM(Base!G93+1400)</f>
        <v>2750</v>
      </c>
      <c r="G93" s="16">
        <f>Base!I93</f>
        <v>45876</v>
      </c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>
      <c r="A94" s="13" t="str">
        <f>Base!A94</f>
        <v>Livorno (ITLIV)</v>
      </c>
      <c r="B94" s="14" t="s">
        <v>229</v>
      </c>
      <c r="C94" s="12">
        <f>Base!C94</f>
        <v>35</v>
      </c>
      <c r="D94" s="12" t="str">
        <f>Base!D94</f>
        <v>HAPAG</v>
      </c>
      <c r="E94" s="15">
        <f>SUM(Base!E94+1200)</f>
        <v>2000</v>
      </c>
      <c r="F94" s="15">
        <f>SUM(Base!G94+1400)</f>
        <v>2600</v>
      </c>
      <c r="G94" s="16">
        <f>Base!I94</f>
        <v>45876</v>
      </c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>
      <c r="A95" s="13" t="str">
        <f>Base!A95</f>
        <v>London Gateway (GBLGP)</v>
      </c>
      <c r="B95" s="14" t="s">
        <v>229</v>
      </c>
      <c r="C95" s="12">
        <f>Base!C95</f>
        <v>21</v>
      </c>
      <c r="D95" s="12" t="str">
        <f>Base!D95</f>
        <v>CMA</v>
      </c>
      <c r="E95" s="15">
        <f>SUM(Base!E95+1200)</f>
        <v>2550</v>
      </c>
      <c r="F95" s="15">
        <f>SUM(Base!G95+1400)</f>
        <v>3000</v>
      </c>
      <c r="G95" s="16">
        <f>Base!I95</f>
        <v>45876</v>
      </c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3" t="str">
        <f>Base!A96</f>
        <v>Long Beach (USLGB)</v>
      </c>
      <c r="B96" s="14" t="s">
        <v>229</v>
      </c>
      <c r="C96" s="12">
        <f>Base!C96</f>
        <v>64</v>
      </c>
      <c r="D96" s="12" t="str">
        <f>Base!D96</f>
        <v>CMA</v>
      </c>
      <c r="E96" s="15">
        <f>SUM(Base!E96+1200)</f>
        <v>5900</v>
      </c>
      <c r="F96" s="15">
        <f>SUM(Base!G96+1400)</f>
        <v>7500</v>
      </c>
      <c r="G96" s="16">
        <f>Base!I96</f>
        <v>45876</v>
      </c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>
      <c r="A97" s="13" t="str">
        <f>Base!A97</f>
        <v>Los Angeles (USLAX)</v>
      </c>
      <c r="B97" s="14" t="s">
        <v>229</v>
      </c>
      <c r="C97" s="12">
        <f>Base!C97</f>
        <v>43</v>
      </c>
      <c r="D97" s="12" t="str">
        <f>Base!D97</f>
        <v>HAPAG</v>
      </c>
      <c r="E97" s="15">
        <f>SUM(Base!E97+1200)</f>
        <v>4800</v>
      </c>
      <c r="F97" s="15">
        <f>SUM(Base!G97+1400)</f>
        <v>5000</v>
      </c>
      <c r="G97" s="16">
        <f>Base!I97</f>
        <v>45876</v>
      </c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>
      <c r="A98" s="13" t="str">
        <f>Base!A98</f>
        <v>Louisiana (USLUA)</v>
      </c>
      <c r="B98" s="12" t="str">
        <f>Base!B98</f>
        <v>Norfolk</v>
      </c>
      <c r="C98" s="12">
        <f>Base!C98</f>
        <v>49</v>
      </c>
      <c r="D98" s="12" t="str">
        <f>Base!D98</f>
        <v>CMA</v>
      </c>
      <c r="E98" s="15">
        <f>SUM(Base!E98+1200)</f>
        <v>7400</v>
      </c>
      <c r="F98" s="15">
        <f>SUM(Base!G98+1400)</f>
        <v>7750</v>
      </c>
      <c r="G98" s="16">
        <f>Base!I98</f>
        <v>45876</v>
      </c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>
      <c r="A99" s="13" t="str">
        <f>Base!A99</f>
        <v>Louisville</v>
      </c>
      <c r="B99" s="12" t="str">
        <f>Base!B99</f>
        <v> Norfolk</v>
      </c>
      <c r="C99" s="12">
        <f>Base!C99</f>
        <v>51</v>
      </c>
      <c r="D99" s="12" t="str">
        <f>Base!D99</f>
        <v>MSC</v>
      </c>
      <c r="E99" s="15">
        <f>SUM(Base!E99+1200)</f>
        <v>6300</v>
      </c>
      <c r="F99" s="15">
        <f>SUM(Base!G99+1400)</f>
        <v>6900</v>
      </c>
      <c r="G99" s="16">
        <f>Base!I99</f>
        <v>45901</v>
      </c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>
      <c r="A100" s="13" t="str">
        <f>Base!A100</f>
        <v>Luanda (AOLAD)</v>
      </c>
      <c r="B100" s="14" t="s">
        <v>229</v>
      </c>
      <c r="C100" s="12">
        <f>Base!C100</f>
        <v>55</v>
      </c>
      <c r="D100" s="12" t="str">
        <f>Base!D100</f>
        <v>MSC</v>
      </c>
      <c r="E100" s="15">
        <f>SUM(Base!E100+1200)</f>
        <v>4750</v>
      </c>
      <c r="F100" s="15">
        <f>SUM(Base!G100+1400)</f>
        <v>5700</v>
      </c>
      <c r="G100" s="16">
        <f>Base!I100</f>
        <v>45876</v>
      </c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>
      <c r="A101" s="13" t="str">
        <f>Base!A101</f>
        <v>Lyttelton (NZLYT)</v>
      </c>
      <c r="B101" s="14" t="s">
        <v>229</v>
      </c>
      <c r="C101" s="12">
        <f>Base!C101</f>
        <v>65</v>
      </c>
      <c r="D101" s="12" t="str">
        <f>Base!D101</f>
        <v>MAERSK</v>
      </c>
      <c r="E101" s="15">
        <f>SUM(Base!E101+1200)</f>
        <v>2900</v>
      </c>
      <c r="F101" s="15">
        <f>SUM(Base!G101+1400)</f>
        <v>3050</v>
      </c>
      <c r="G101" s="16">
        <f>Base!I101</f>
        <v>45876</v>
      </c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>
      <c r="A102" s="13" t="str">
        <f>Base!A102</f>
        <v>Madrid (ESMAD)</v>
      </c>
      <c r="B102" s="12" t="str">
        <f>Base!B102</f>
        <v>Algeciras</v>
      </c>
      <c r="C102" s="12">
        <f>Base!C102</f>
        <v>30</v>
      </c>
      <c r="D102" s="12" t="str">
        <f>Base!D102</f>
        <v>MSK</v>
      </c>
      <c r="E102" s="15">
        <f>SUM(Base!E102+1200)</f>
        <v>3050</v>
      </c>
      <c r="F102" s="15">
        <f>SUM(Base!G102+1400)</f>
        <v>3350</v>
      </c>
      <c r="G102" s="16">
        <f>Base!I102</f>
        <v>45876</v>
      </c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>
      <c r="A103" s="13" t="str">
        <f>Base!A103</f>
        <v>Malaga (ESAGP)</v>
      </c>
      <c r="B103" s="12" t="str">
        <f>Base!B103</f>
        <v>Algeciras</v>
      </c>
      <c r="C103" s="12">
        <f>Base!C103</f>
        <v>31</v>
      </c>
      <c r="D103" s="12" t="str">
        <f>Base!D103</f>
        <v>MAERSK</v>
      </c>
      <c r="E103" s="15">
        <f>SUM(Base!E103+1200)</f>
        <v>2400</v>
      </c>
      <c r="F103" s="15">
        <f>SUM(Base!G103+1400)</f>
        <v>2800</v>
      </c>
      <c r="G103" s="16">
        <f>Base!I103</f>
        <v>45876</v>
      </c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>
      <c r="A104" s="13" t="str">
        <f>Base!A104</f>
        <v>Managua (NIMGA)</v>
      </c>
      <c r="B104" s="12" t="str">
        <f>Base!B104</f>
        <v>Corinto</v>
      </c>
      <c r="C104" s="12">
        <f>Base!C104</f>
        <v>50</v>
      </c>
      <c r="D104" s="12" t="str">
        <f>Base!D104</f>
        <v>CMA</v>
      </c>
      <c r="E104" s="15">
        <f>SUM(Base!E104+1200)</f>
        <v>6000</v>
      </c>
      <c r="F104" s="15">
        <f>SUM(Base!G104+1400)</f>
        <v>7600</v>
      </c>
      <c r="G104" s="16">
        <f>Base!I104</f>
        <v>45876</v>
      </c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>
      <c r="A105" s="13" t="str">
        <f>Base!A105</f>
        <v>Manaus (BRMAO)</v>
      </c>
      <c r="B105" s="14" t="s">
        <v>229</v>
      </c>
      <c r="C105" s="12">
        <f>Base!C105</f>
        <v>24</v>
      </c>
      <c r="D105" s="12" t="str">
        <f>Base!D105</f>
        <v>Mercosul</v>
      </c>
      <c r="E105" s="15">
        <f>SUM(Base!E105+1200)</f>
        <v>3400</v>
      </c>
      <c r="F105" s="15">
        <f>SUM(Base!G105+1400)</f>
        <v>3900</v>
      </c>
      <c r="G105" s="16">
        <f>Base!I105</f>
        <v>45876</v>
      </c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>
      <c r="A106" s="13" t="str">
        <f>Base!A106</f>
        <v>Manila - PHMNL</v>
      </c>
      <c r="B106" s="14" t="s">
        <v>229</v>
      </c>
      <c r="C106" s="12">
        <f>Base!C106</f>
        <v>40</v>
      </c>
      <c r="D106" s="12" t="str">
        <f>Base!D106</f>
        <v>MAERSK</v>
      </c>
      <c r="E106" s="15">
        <f>SUM(Base!E106+1200)</f>
        <v>2200</v>
      </c>
      <c r="F106" s="15">
        <f>SUM(Base!G106+1400)</f>
        <v>2400</v>
      </c>
      <c r="G106" s="16">
        <f>Base!I106</f>
        <v>45876</v>
      </c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>
      <c r="A107" s="13" t="str">
        <f>Base!A107</f>
        <v>Manzanillo (PAMIT)</v>
      </c>
      <c r="B107" s="14" t="s">
        <v>229</v>
      </c>
      <c r="C107" s="12">
        <f>Base!C107</f>
        <v>28</v>
      </c>
      <c r="D107" s="12" t="str">
        <f>Base!D107</f>
        <v>HAPAG</v>
      </c>
      <c r="E107" s="15">
        <f>SUM(Base!E107+1200)</f>
        <v>3750</v>
      </c>
      <c r="F107" s="15">
        <f>SUM(Base!G107+1400)</f>
        <v>4250</v>
      </c>
      <c r="G107" s="16">
        <f>Base!I107</f>
        <v>45876</v>
      </c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>
      <c r="A108" s="13" t="str">
        <f>Base!A108</f>
        <v>Melbourne (AUMEL)</v>
      </c>
      <c r="B108" s="14" t="s">
        <v>229</v>
      </c>
      <c r="C108" s="12">
        <f>Base!C108</f>
        <v>60</v>
      </c>
      <c r="D108" s="12" t="str">
        <f>Base!D108</f>
        <v>MAERSK</v>
      </c>
      <c r="E108" s="15">
        <f>SUM(Base!E108+1200)</f>
        <v>2350</v>
      </c>
      <c r="F108" s="15">
        <f>SUM(Base!G108+1400)</f>
        <v>2450</v>
      </c>
      <c r="G108" s="16">
        <f>Base!I108</f>
        <v>45876</v>
      </c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3" t="str">
        <f>Base!A109</f>
        <v>Mexico city (MXMEX)</v>
      </c>
      <c r="B109" s="12" t="str">
        <f>Base!B109</f>
        <v>Veracruz</v>
      </c>
      <c r="C109" s="12">
        <f>Base!C109</f>
        <v>40</v>
      </c>
      <c r="D109" s="12" t="str">
        <f>Base!D109</f>
        <v>MAERSK</v>
      </c>
      <c r="E109" s="15">
        <f>SUM(Base!E109+1200)</f>
        <v>4550</v>
      </c>
      <c r="F109" s="15">
        <f>SUM(Base!G109+1400)</f>
        <v>5200</v>
      </c>
      <c r="G109" s="16">
        <f>Base!I109</f>
        <v>45876</v>
      </c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>
      <c r="A110" s="13" t="str">
        <f>Base!A110</f>
        <v>Miami FL</v>
      </c>
      <c r="B110" s="14" t="s">
        <v>229</v>
      </c>
      <c r="C110" s="12">
        <f>Base!C110</f>
        <v>29</v>
      </c>
      <c r="D110" s="12" t="str">
        <f>Base!D110</f>
        <v>HAPAG</v>
      </c>
      <c r="E110" s="15">
        <f>SUM(Base!E110+1200)</f>
        <v>4750</v>
      </c>
      <c r="F110" s="15">
        <f>SUM(Base!G110+1400)</f>
        <v>5000</v>
      </c>
      <c r="G110" s="16">
        <f>Base!I110</f>
        <v>45876</v>
      </c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>
      <c r="A111" s="13" t="str">
        <f>Base!A111</f>
        <v>Minneapolis (USMES)</v>
      </c>
      <c r="B111" s="14" t="s">
        <v>229</v>
      </c>
      <c r="C111" s="12">
        <f>Base!C111</f>
        <v>32</v>
      </c>
      <c r="D111" s="12" t="str">
        <f>Base!D111</f>
        <v>HAPAG</v>
      </c>
      <c r="E111" s="15">
        <f>SUM(Base!E111+1200)</f>
        <v>7500</v>
      </c>
      <c r="F111" s="15">
        <f>SUM(Base!G111+1400)</f>
        <v>7850</v>
      </c>
      <c r="G111" s="16">
        <f>Base!I111</f>
        <v>45876</v>
      </c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>
      <c r="A112" s="13" t="str">
        <f>Base!A112</f>
        <v>Montevideo (UYMVD)</v>
      </c>
      <c r="B112" s="14" t="s">
        <v>229</v>
      </c>
      <c r="C112" s="12">
        <f>Base!C112</f>
        <v>1</v>
      </c>
      <c r="D112" s="12" t="str">
        <f>Base!D112</f>
        <v>MAERSK</v>
      </c>
      <c r="E112" s="15">
        <f>SUM(Base!E112+1200)</f>
        <v>1900</v>
      </c>
      <c r="F112" s="15">
        <f>SUM(Base!G112+1400)</f>
        <v>2200</v>
      </c>
      <c r="G112" s="16">
        <f>Base!I112</f>
        <v>45876</v>
      </c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>
      <c r="A113" s="13" t="str">
        <f>Base!A113</f>
        <v>Montoir de Bretagne (FRMTX)</v>
      </c>
      <c r="B113" s="14" t="s">
        <v>229</v>
      </c>
      <c r="C113" s="12">
        <f>Base!C113</f>
        <v>48</v>
      </c>
      <c r="D113" s="12" t="str">
        <f>Base!D113</f>
        <v>CMA</v>
      </c>
      <c r="E113" s="15">
        <f>SUM(Base!E113+1200)</f>
        <v>2800</v>
      </c>
      <c r="F113" s="15">
        <f>SUM(Base!G113+1400)</f>
        <v>3350</v>
      </c>
      <c r="G113" s="16">
        <f>Base!I113</f>
        <v>45876</v>
      </c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>
      <c r="A114" s="13" t="str">
        <f>Base!A114</f>
        <v>Montoir de Bretagne (FRMTX)</v>
      </c>
      <c r="B114" s="14" t="s">
        <v>229</v>
      </c>
      <c r="C114" s="12">
        <f>Base!C114</f>
        <v>40</v>
      </c>
      <c r="D114" s="12" t="str">
        <f>Base!D114</f>
        <v>MAERSK</v>
      </c>
      <c r="E114" s="15">
        <f>SUM(Base!E114+1200)</f>
        <v>2350</v>
      </c>
      <c r="F114" s="15">
        <f>SUM(Base!G114+1400)</f>
        <v>3200</v>
      </c>
      <c r="G114" s="16">
        <f>Base!I114</f>
        <v>45876</v>
      </c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>
      <c r="A115" s="13" t="str">
        <f>Base!A115</f>
        <v>Montreal (CAMTR)</v>
      </c>
      <c r="B115" s="14" t="s">
        <v>229</v>
      </c>
      <c r="C115" s="12">
        <f>Base!C115</f>
        <v>48</v>
      </c>
      <c r="D115" s="12" t="str">
        <f>Base!D115</f>
        <v>MSC</v>
      </c>
      <c r="E115" s="15">
        <f>SUM(Base!E115+1200)</f>
        <v>6250</v>
      </c>
      <c r="F115" s="15">
        <f>SUM(Base!G115+1400)</f>
        <v>6650</v>
      </c>
      <c r="G115" s="16">
        <f>Base!I115</f>
        <v>45876</v>
      </c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>
      <c r="A116" s="13" t="str">
        <f>Base!A116</f>
        <v>Muscat - OMMCT</v>
      </c>
      <c r="B116" s="12" t="str">
        <f>Base!B116</f>
        <v>Sohar</v>
      </c>
      <c r="C116" s="12">
        <f>Base!C116</f>
        <v>61</v>
      </c>
      <c r="D116" s="12" t="str">
        <f>Base!D116</f>
        <v>MAERSK</v>
      </c>
      <c r="E116" s="15">
        <f>SUM(Base!E116+1200)</f>
        <v>3200</v>
      </c>
      <c r="F116" s="15">
        <f>SUM(Base!G116+1400)</f>
        <v>2900</v>
      </c>
      <c r="G116" s="16">
        <f>Base!I116</f>
        <v>45876</v>
      </c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>
      <c r="A117" s="13" t="str">
        <f>Base!A117</f>
        <v>Naples (ITNAP)</v>
      </c>
      <c r="B117" s="14" t="s">
        <v>229</v>
      </c>
      <c r="C117" s="12">
        <f>Base!C117</f>
        <v>36</v>
      </c>
      <c r="D117" s="12" t="str">
        <f>Base!D117</f>
        <v>MAERSK</v>
      </c>
      <c r="E117" s="15">
        <f>SUM(Base!E117+1200)</f>
        <v>2300</v>
      </c>
      <c r="F117" s="15">
        <f>SUM(Base!G117+1400)</f>
        <v>2600</v>
      </c>
      <c r="G117" s="16">
        <f>Base!I117</f>
        <v>45876</v>
      </c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>
      <c r="A118" s="13" t="str">
        <f>Base!A118</f>
        <v>Navegantes (BRNVT)</v>
      </c>
      <c r="B118" s="14" t="s">
        <v>229</v>
      </c>
      <c r="C118" s="12">
        <f>Base!C118</f>
        <v>8</v>
      </c>
      <c r="D118" s="12" t="str">
        <f>Base!D118</f>
        <v>Mercosul</v>
      </c>
      <c r="E118" s="15">
        <f>SUM(Base!E118+1200)</f>
        <v>1650</v>
      </c>
      <c r="F118" s="15">
        <f>SUM(Base!G118+1400)</f>
        <v>2000</v>
      </c>
      <c r="G118" s="16">
        <f>Base!I118</f>
        <v>45876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>
      <c r="A119" s="13" t="str">
        <f>Base!A119</f>
        <v>New Delhi - INDEL</v>
      </c>
      <c r="B119" s="12" t="str">
        <f>Base!B119</f>
        <v>Pipavav</v>
      </c>
      <c r="C119" s="12">
        <f>Base!C119</f>
        <v>49</v>
      </c>
      <c r="D119" s="12" t="str">
        <f>Base!D119</f>
        <v>CMA</v>
      </c>
      <c r="E119" s="15">
        <f>SUM(Base!E119+1200)</f>
        <v>3700</v>
      </c>
      <c r="F119" s="15">
        <f>SUM(Base!G119+1400)</f>
        <v>5450</v>
      </c>
      <c r="G119" s="16">
        <f>Base!I119</f>
        <v>45876</v>
      </c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>
      <c r="A120" s="13" t="str">
        <f>Base!A120</f>
        <v>New Orleans (USMSY)</v>
      </c>
      <c r="B120" s="14" t="s">
        <v>229</v>
      </c>
      <c r="C120" s="12">
        <f>Base!C120</f>
        <v>36</v>
      </c>
      <c r="D120" s="12" t="str">
        <f>Base!D120</f>
        <v>HAPAG</v>
      </c>
      <c r="E120" s="15">
        <f>SUM(Base!E120+1200)</f>
        <v>4700</v>
      </c>
      <c r="F120" s="15">
        <f>SUM(Base!G120+1400)</f>
        <v>5000</v>
      </c>
      <c r="G120" s="16">
        <f>Base!I120</f>
        <v>45876</v>
      </c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>
      <c r="A121" s="13" t="str">
        <f>Base!A121</f>
        <v>New York (USNYC)</v>
      </c>
      <c r="B121" s="14" t="s">
        <v>229</v>
      </c>
      <c r="C121" s="12">
        <f>Base!C121</f>
        <v>39</v>
      </c>
      <c r="D121" s="12" t="str">
        <f>Base!D121</f>
        <v>CMA</v>
      </c>
      <c r="E121" s="15">
        <f>SUM(Base!E121+1200)</f>
        <v>5250</v>
      </c>
      <c r="F121" s="15">
        <f>SUM(Base!G121+1400)</f>
        <v>5800</v>
      </c>
      <c r="G121" s="16">
        <f>Base!I121</f>
        <v>45876</v>
      </c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3" t="str">
        <f>Base!A122</f>
        <v>Nhava Sheva - INNSA</v>
      </c>
      <c r="B122" s="14" t="s">
        <v>229</v>
      </c>
      <c r="C122" s="12">
        <f>Base!C122</f>
        <v>72</v>
      </c>
      <c r="D122" s="12" t="str">
        <f>Base!D122</f>
        <v>HAPAG</v>
      </c>
      <c r="E122" s="15">
        <f>SUM(Base!E122+1200)</f>
        <v>2850</v>
      </c>
      <c r="F122" s="15">
        <f>SUM(Base!G122+1400)</f>
        <v>5450</v>
      </c>
      <c r="G122" s="16">
        <f>Base!I122</f>
        <v>45876</v>
      </c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>
      <c r="A123" s="13" t="str">
        <f>Base!A123</f>
        <v>Norfolk (USORF)</v>
      </c>
      <c r="B123" s="14" t="s">
        <v>229</v>
      </c>
      <c r="C123" s="12">
        <f>Base!C123</f>
        <v>40</v>
      </c>
      <c r="D123" s="12" t="str">
        <f>Base!D123</f>
        <v>HAPAG</v>
      </c>
      <c r="E123" s="15">
        <f>SUM(Base!E123+1200)</f>
        <v>5800</v>
      </c>
      <c r="F123" s="15">
        <f>SUM(Base!G123+1400)</f>
        <v>6000</v>
      </c>
      <c r="G123" s="16">
        <f>Base!I123</f>
        <v>45876</v>
      </c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>
      <c r="A124" s="13" t="str">
        <f>Base!A124</f>
        <v>Oakland (USOAK)</v>
      </c>
      <c r="B124" s="12" t="str">
        <f>Base!B124</f>
        <v>Houston</v>
      </c>
      <c r="C124" s="12">
        <f>Base!C124</f>
        <v>48</v>
      </c>
      <c r="D124" s="12" t="str">
        <f>Base!D124</f>
        <v>HAPAG</v>
      </c>
      <c r="E124" s="15">
        <f>SUM(Base!E124+1200)</f>
        <v>6300</v>
      </c>
      <c r="F124" s="15">
        <f>SUM(Base!G124+1400)</f>
        <v>6750</v>
      </c>
      <c r="G124" s="16">
        <f>Base!I124</f>
        <v>45876</v>
      </c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>
      <c r="A125" s="13" t="str">
        <f>Base!A125</f>
        <v>Oslo</v>
      </c>
      <c r="B125" s="12" t="str">
        <f>Base!B125</f>
        <v>Hamburg</v>
      </c>
      <c r="C125" s="12">
        <f>Base!C125</f>
        <v>40</v>
      </c>
      <c r="D125" s="12" t="str">
        <f>Base!D125</f>
        <v>CMA</v>
      </c>
      <c r="E125" s="15">
        <f>SUM(Base!E125+1200)</f>
        <v>3300</v>
      </c>
      <c r="F125" s="15">
        <f>SUM(Base!G125+1400)</f>
        <v>3950</v>
      </c>
      <c r="G125" s="16">
        <f>Base!I125</f>
        <v>45901</v>
      </c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>
      <c r="A126" s="13" t="str">
        <f>Base!A126</f>
        <v>Panama city (PAPTY)</v>
      </c>
      <c r="B126" s="12" t="str">
        <f>Base!B126</f>
        <v>Manzanillo</v>
      </c>
      <c r="C126" s="12">
        <f>Base!C126</f>
        <v>25</v>
      </c>
      <c r="D126" s="12" t="str">
        <f>Base!D126</f>
        <v>MAERSK</v>
      </c>
      <c r="E126" s="15">
        <f>SUM(Base!E126+1200)</f>
        <v>4200</v>
      </c>
      <c r="F126" s="15">
        <f>SUM(Base!G126+1400)</f>
        <v>4700</v>
      </c>
      <c r="G126" s="16">
        <f>Base!I126</f>
        <v>45876</v>
      </c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>
      <c r="A127" s="13" t="str">
        <f>Base!A127</f>
        <v>Paris (FRPAR)</v>
      </c>
      <c r="B127" s="12" t="str">
        <f>Base!B127</f>
        <v>Le Havre</v>
      </c>
      <c r="C127" s="12">
        <f>Base!C127</f>
        <v>36</v>
      </c>
      <c r="D127" s="12" t="str">
        <f>Base!D127</f>
        <v>MAERSK</v>
      </c>
      <c r="E127" s="15">
        <f>SUM(Base!E127+1200)</f>
        <v>2700</v>
      </c>
      <c r="F127" s="15">
        <f>SUM(Base!G127+1400)</f>
        <v>2950</v>
      </c>
      <c r="G127" s="16">
        <f>Base!I127</f>
        <v>45876</v>
      </c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>
      <c r="A128" s="13" t="str">
        <f>Base!A128</f>
        <v>Pecem (BRPEC)</v>
      </c>
      <c r="B128" s="14" t="s">
        <v>229</v>
      </c>
      <c r="C128" s="12">
        <f>Base!C128</f>
        <v>16</v>
      </c>
      <c r="D128" s="12" t="str">
        <f>Base!D128</f>
        <v>Mercosul</v>
      </c>
      <c r="E128" s="15">
        <f>SUM(Base!E128+1200)</f>
        <v>2150</v>
      </c>
      <c r="F128" s="15">
        <f>SUM(Base!G128+1400)</f>
        <v>2550</v>
      </c>
      <c r="G128" s="16">
        <f>Base!I128</f>
        <v>45876</v>
      </c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>
      <c r="A129" s="13" t="str">
        <f>Base!A129</f>
        <v>Perth (AUPER)</v>
      </c>
      <c r="B129" s="12" t="str">
        <f>Base!B129</f>
        <v>Fremantle</v>
      </c>
      <c r="C129" s="12">
        <f>Base!C129</f>
        <v>83</v>
      </c>
      <c r="D129" s="12" t="str">
        <f>Base!D129</f>
        <v>CMA</v>
      </c>
      <c r="E129" s="15">
        <f>SUM(Base!E129+1200)</f>
        <v>5100</v>
      </c>
      <c r="F129" s="15">
        <f>SUM(Base!G129+1400)</f>
        <v>5450</v>
      </c>
      <c r="G129" s="16">
        <f>Base!I129</f>
        <v>45876</v>
      </c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>
      <c r="A130" s="13" t="str">
        <f>Base!A130</f>
        <v>Phoenix (USPHX)</v>
      </c>
      <c r="B130" s="12" t="str">
        <f>Base!B130</f>
        <v>Los Angeles</v>
      </c>
      <c r="C130" s="12">
        <f>Base!C130</f>
        <v>44</v>
      </c>
      <c r="D130" s="12" t="str">
        <f>Base!D130</f>
        <v>HAPAG</v>
      </c>
      <c r="E130" s="15">
        <f>SUM(Base!E130+1200)</f>
        <v>6550</v>
      </c>
      <c r="F130" s="15">
        <f>SUM(Base!G130+1400)</f>
        <v>6800</v>
      </c>
      <c r="G130" s="16">
        <f>Base!I130</f>
        <v>45876</v>
      </c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>
      <c r="A131" s="13" t="str">
        <f>Base!A131</f>
        <v>Piraeus (GRPIR)</v>
      </c>
      <c r="B131" s="14" t="s">
        <v>229</v>
      </c>
      <c r="C131" s="12">
        <f>Base!C131</f>
        <v>41</v>
      </c>
      <c r="D131" s="12" t="str">
        <f>Base!D131</f>
        <v>MAERSK</v>
      </c>
      <c r="E131" s="15">
        <f>SUM(Base!E131+1200)</f>
        <v>2300</v>
      </c>
      <c r="F131" s="15">
        <f>SUM(Base!G131+1400)</f>
        <v>2750</v>
      </c>
      <c r="G131" s="16">
        <f>Base!I131</f>
        <v>45876</v>
      </c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>
      <c r="A132" s="13" t="str">
        <f>Base!A132</f>
        <v>Pittsburg (USPIT)</v>
      </c>
      <c r="B132" s="12" t="str">
        <f>Base!B132</f>
        <v>New York</v>
      </c>
      <c r="C132" s="12">
        <f>Base!C132</f>
        <v>40</v>
      </c>
      <c r="D132" s="12" t="str">
        <f>Base!D132</f>
        <v>CMA</v>
      </c>
      <c r="E132" s="15">
        <f>SUM(Base!E132+1200)</f>
        <v>5900</v>
      </c>
      <c r="F132" s="15">
        <f>SUM(Base!G132+1400)</f>
        <v>6750</v>
      </c>
      <c r="G132" s="16">
        <f>Base!I132</f>
        <v>45876</v>
      </c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>
      <c r="A133" s="13" t="str">
        <f>Base!A133</f>
        <v>Port Everglades (USPEF)</v>
      </c>
      <c r="B133" s="14" t="s">
        <v>229</v>
      </c>
      <c r="C133" s="12">
        <f>Base!C133</f>
        <v>39</v>
      </c>
      <c r="D133" s="12" t="str">
        <f>Base!D133</f>
        <v>CMA</v>
      </c>
      <c r="E133" s="15">
        <f>SUM(Base!E133+1200)</f>
        <v>5000</v>
      </c>
      <c r="F133" s="15">
        <f>SUM(Base!G133+1400)</f>
        <v>5400</v>
      </c>
      <c r="G133" s="16">
        <f>Base!I133</f>
        <v>45876</v>
      </c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>
      <c r="A134" s="13" t="str">
        <f>Base!A134</f>
        <v>Port of Spain (TTPOS)</v>
      </c>
      <c r="B134" s="14" t="s">
        <v>229</v>
      </c>
      <c r="C134" s="12">
        <f>Base!C134</f>
        <v>40</v>
      </c>
      <c r="D134" s="12" t="str">
        <f>Base!D134</f>
        <v>CMA</v>
      </c>
      <c r="E134" s="15">
        <f>SUM(Base!E134+1200)</f>
        <v>5000</v>
      </c>
      <c r="F134" s="15">
        <f>SUM(Base!G134+1400)</f>
        <v>5400</v>
      </c>
      <c r="G134" s="16">
        <f>Base!I134</f>
        <v>45876</v>
      </c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A135" s="13" t="str">
        <f>Base!A135</f>
        <v>Poti - GEPTI</v>
      </c>
      <c r="B135" s="14" t="s">
        <v>229</v>
      </c>
      <c r="C135" s="12">
        <f>Base!C135</f>
        <v>62</v>
      </c>
      <c r="D135" s="12" t="str">
        <f>Base!D135</f>
        <v>MAERSK</v>
      </c>
      <c r="E135" s="15">
        <f>SUM(Base!E135+1200)</f>
        <v>2300</v>
      </c>
      <c r="F135" s="15">
        <f>SUM(Base!G135+1400)</f>
        <v>2550</v>
      </c>
      <c r="G135" s="16">
        <f>Base!I135</f>
        <v>45876</v>
      </c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>
      <c r="A136" s="13" t="str">
        <f>Base!A136</f>
        <v>Praga (CZPRG)</v>
      </c>
      <c r="B136" s="12" t="str">
        <f>Base!B136</f>
        <v>Hamburgo</v>
      </c>
      <c r="C136" s="12">
        <f>Base!C136</f>
        <v>50</v>
      </c>
      <c r="D136" s="12" t="str">
        <f>Base!D136</f>
        <v>HAPAG</v>
      </c>
      <c r="E136" s="15">
        <f>SUM(Base!E136+1200)</f>
        <v>3100</v>
      </c>
      <c r="F136" s="15">
        <f>SUM(Base!G136+1400)</f>
        <v>3600</v>
      </c>
      <c r="G136" s="16">
        <f>Base!I136</f>
        <v>45876</v>
      </c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>
      <c r="A137" s="13" t="str">
        <f>Base!A137</f>
        <v>Puerto Limon (CRLIO)</v>
      </c>
      <c r="B137" s="14" t="s">
        <v>229</v>
      </c>
      <c r="C137" s="12">
        <f>Base!C137</f>
        <v>28</v>
      </c>
      <c r="D137" s="12" t="str">
        <f>Base!D137</f>
        <v>HAPAG</v>
      </c>
      <c r="E137" s="15">
        <f>SUM(Base!E137+1200)</f>
        <v>4400</v>
      </c>
      <c r="F137" s="15">
        <f>SUM(Base!G137+1400)</f>
        <v>4950</v>
      </c>
      <c r="G137" s="16">
        <f>Base!I137</f>
        <v>45876</v>
      </c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>
      <c r="A138" s="13" t="str">
        <f>Base!A138</f>
        <v>Puerto Moin (CRPMN)</v>
      </c>
      <c r="B138" s="14" t="s">
        <v>229</v>
      </c>
      <c r="C138" s="12">
        <f>Base!C138</f>
        <v>35</v>
      </c>
      <c r="D138" s="12" t="str">
        <f>Base!D138</f>
        <v>MAERSK</v>
      </c>
      <c r="E138" s="15">
        <f>SUM(Base!E138+1200)</f>
        <v>3800</v>
      </c>
      <c r="F138" s="15">
        <f>SUM(Base!G138+1400)</f>
        <v>4300</v>
      </c>
      <c r="G138" s="16">
        <f>Base!I138</f>
        <v>45876</v>
      </c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>
      <c r="A139" s="13" t="str">
        <f>Base!A139</f>
        <v>Quito (ECUIO)</v>
      </c>
      <c r="B139" s="12" t="str">
        <f>Base!B139</f>
        <v>Guayaquil</v>
      </c>
      <c r="C139" s="12">
        <f>Base!C139</f>
        <v>33</v>
      </c>
      <c r="D139" s="12" t="str">
        <f>Base!D139</f>
        <v>HAPAG</v>
      </c>
      <c r="E139" s="15">
        <f>SUM(Base!E139+1200)</f>
        <v>4950</v>
      </c>
      <c r="F139" s="15">
        <f>SUM(Base!G139+1400)</f>
        <v>5450</v>
      </c>
      <c r="G139" s="16">
        <f>Base!I139</f>
        <v>45876</v>
      </c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>
      <c r="A140" s="13" t="str">
        <f>Base!A140</f>
        <v>Rabat (MARBA)</v>
      </c>
      <c r="B140" s="12" t="str">
        <f>Base!B140</f>
        <v>Casablanca</v>
      </c>
      <c r="C140" s="12">
        <f>Base!C140</f>
        <v>44</v>
      </c>
      <c r="D140" s="12" t="str">
        <f>Base!D140</f>
        <v>MSC</v>
      </c>
      <c r="E140" s="15">
        <f>SUM(Base!E140+1200)</f>
        <v>5000</v>
      </c>
      <c r="F140" s="15">
        <f>SUM(Base!G140+1400)</f>
        <v>6150</v>
      </c>
      <c r="G140" s="16">
        <f>Base!I140</f>
        <v>45876</v>
      </c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>
      <c r="A141" s="13" t="str">
        <f>Base!A141</f>
        <v>Rades (TNRDS)</v>
      </c>
      <c r="B141" s="12" t="str">
        <f>Base!B141</f>
        <v>Tunes</v>
      </c>
      <c r="C141" s="12">
        <f>Base!C141</f>
        <v>34</v>
      </c>
      <c r="D141" s="12" t="str">
        <f>Base!D141</f>
        <v>MAERSK</v>
      </c>
      <c r="E141" s="15">
        <f>SUM(Base!E141+1200)</f>
        <v>2400</v>
      </c>
      <c r="F141" s="15">
        <f>SUM(Base!G141+1400)</f>
        <v>3950</v>
      </c>
      <c r="G141" s="16">
        <f>Base!I141</f>
        <v>45876</v>
      </c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>
      <c r="A142" s="13" t="str">
        <f>Base!A142</f>
        <v>Regina</v>
      </c>
      <c r="B142" s="12" t="str">
        <f>Base!B142</f>
        <v>Vancouver</v>
      </c>
      <c r="C142" s="12">
        <f>Base!C142</f>
        <v>53</v>
      </c>
      <c r="D142" s="12" t="str">
        <f>Base!D142</f>
        <v>MSC</v>
      </c>
      <c r="E142" s="15">
        <f>SUM(Base!E142+1200)</f>
        <v>7150</v>
      </c>
      <c r="F142" s="15">
        <f>SUM(Base!G142+1400)</f>
        <v>8350</v>
      </c>
      <c r="G142" s="16">
        <f>Base!I142</f>
        <v>45876</v>
      </c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>
      <c r="A143" s="13" t="str">
        <f>Base!A143</f>
        <v>Rio de Janerio (BRRIO )</v>
      </c>
      <c r="B143" s="14" t="s">
        <v>229</v>
      </c>
      <c r="C143" s="12">
        <f>Base!C143</f>
        <v>12</v>
      </c>
      <c r="D143" s="12" t="str">
        <f>Base!D143</f>
        <v>Mercosul</v>
      </c>
      <c r="E143" s="15">
        <f>SUM(Base!E143+1200)</f>
        <v>2000</v>
      </c>
      <c r="F143" s="15">
        <f>SUM(Base!G143+1400)</f>
        <v>2250</v>
      </c>
      <c r="G143" s="16">
        <f>Base!I143</f>
        <v>45876</v>
      </c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>
      <c r="A144" s="13" t="str">
        <f>Base!A144</f>
        <v>Rio Grande ( BRRIG)</v>
      </c>
      <c r="B144" s="14" t="s">
        <v>229</v>
      </c>
      <c r="C144" s="12">
        <f>Base!C144</f>
        <v>7</v>
      </c>
      <c r="D144" s="12" t="str">
        <f>Base!D144</f>
        <v>Mercosul</v>
      </c>
      <c r="E144" s="15">
        <f>SUM(Base!E144+1200)</f>
        <v>1650</v>
      </c>
      <c r="F144" s="15">
        <f>SUM(Base!G144+1400)</f>
        <v>1950</v>
      </c>
      <c r="G144" s="16">
        <f>Base!I144</f>
        <v>45876</v>
      </c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>
      <c r="A145" s="13" t="str">
        <f>Base!A145</f>
        <v>Rio Haina (DOHAI)</v>
      </c>
      <c r="B145" s="14" t="s">
        <v>229</v>
      </c>
      <c r="C145" s="12">
        <f>Base!C145</f>
        <v>34</v>
      </c>
      <c r="D145" s="12" t="str">
        <f>Base!D145</f>
        <v>MAERSK</v>
      </c>
      <c r="E145" s="15">
        <f>SUM(Base!E145+1200)</f>
        <v>3900</v>
      </c>
      <c r="F145" s="15">
        <f>SUM(Base!G145+1400)</f>
        <v>4400</v>
      </c>
      <c r="G145" s="16">
        <f>Base!I145</f>
        <v>45876</v>
      </c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>
      <c r="A146" s="13" t="str">
        <f>Base!A146</f>
        <v>Roma (ITRMX)</v>
      </c>
      <c r="B146" s="12" t="str">
        <f>Base!B146</f>
        <v>Leghorn</v>
      </c>
      <c r="C146" s="12">
        <f>Base!C146</f>
        <v>42</v>
      </c>
      <c r="D146" s="12" t="str">
        <f>Base!D146</f>
        <v>MAERSK</v>
      </c>
      <c r="E146" s="15">
        <f>SUM(Base!E146+1200)</f>
        <v>3250</v>
      </c>
      <c r="F146" s="15">
        <f>SUM(Base!G146+1400)</f>
        <v>3450</v>
      </c>
      <c r="G146" s="16">
        <f>Base!I146</f>
        <v>45876</v>
      </c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>
      <c r="A147" s="13" t="str">
        <f>Base!A147</f>
        <v>Rotterdam (NLRTM)</v>
      </c>
      <c r="B147" s="14" t="s">
        <v>229</v>
      </c>
      <c r="C147" s="12">
        <f>Base!C147</f>
        <v>28</v>
      </c>
      <c r="D147" s="12" t="str">
        <f>Base!D147</f>
        <v>MAERSK</v>
      </c>
      <c r="E147" s="15">
        <f>SUM(Base!E147+1200)</f>
        <v>2250</v>
      </c>
      <c r="F147" s="15">
        <f>SUM(Base!G147+1400)</f>
        <v>2300</v>
      </c>
      <c r="G147" s="16">
        <f>Base!I147</f>
        <v>45876</v>
      </c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>
      <c r="A148" s="13" t="str">
        <f>Base!A148</f>
        <v>Salt Lake City (USSLC)</v>
      </c>
      <c r="B148" s="12" t="str">
        <f>Base!B148</f>
        <v>Los Angeles</v>
      </c>
      <c r="C148" s="12">
        <f>Base!C148</f>
        <v>45</v>
      </c>
      <c r="D148" s="12" t="str">
        <f>Base!D148</f>
        <v>HAPAG</v>
      </c>
      <c r="E148" s="15">
        <f>SUM(Base!E148+1200)</f>
        <v>7050</v>
      </c>
      <c r="F148" s="15">
        <f>SUM(Base!G148+1400)</f>
        <v>7500</v>
      </c>
      <c r="G148" s="16">
        <f>Base!I148</f>
        <v>45876</v>
      </c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>
      <c r="A149" s="13" t="str">
        <f>Base!A149</f>
        <v>Salvador (BRSSA)</v>
      </c>
      <c r="B149" s="14" t="s">
        <v>229</v>
      </c>
      <c r="C149" s="12">
        <f>Base!C149</f>
        <v>6</v>
      </c>
      <c r="D149" s="12" t="str">
        <f>Base!D149</f>
        <v>Mercosul</v>
      </c>
      <c r="E149" s="15">
        <f>SUM(Base!E149+1200)</f>
        <v>2300</v>
      </c>
      <c r="F149" s="15">
        <f>SUM(Base!G149+1400)</f>
        <v>2500</v>
      </c>
      <c r="G149" s="16">
        <f>Base!I149</f>
        <v>45876</v>
      </c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>
      <c r="A150" s="13" t="str">
        <f>Base!A150</f>
        <v>San Antonio (CLSAI)</v>
      </c>
      <c r="B150" s="14" t="s">
        <v>229</v>
      </c>
      <c r="C150" s="12">
        <f>Base!C150</f>
        <v>15</v>
      </c>
      <c r="D150" s="12" t="str">
        <f>Base!D150</f>
        <v>HAPAG</v>
      </c>
      <c r="E150" s="15">
        <f>SUM(Base!E150+1200)</f>
        <v>3950</v>
      </c>
      <c r="F150" s="15">
        <f>SUM(Base!G150+1400)</f>
        <v>4500</v>
      </c>
      <c r="G150" s="16">
        <f>Base!I150</f>
        <v>45876</v>
      </c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>
      <c r="A151" s="13" t="str">
        <f>Base!A151</f>
        <v>San jose CR (CRSJO)</v>
      </c>
      <c r="B151" s="12" t="str">
        <f>Base!B151</f>
        <v>Puerto Moin</v>
      </c>
      <c r="C151" s="12">
        <f>Base!C151</f>
        <v>36</v>
      </c>
      <c r="D151" s="12" t="str">
        <f>Base!D151</f>
        <v>MAERSK</v>
      </c>
      <c r="E151" s="15">
        <f>SUM(Base!E151+1200)</f>
        <v>4400</v>
      </c>
      <c r="F151" s="15">
        <f>SUM(Base!G151+1400)</f>
        <v>5000</v>
      </c>
      <c r="G151" s="16">
        <f>Base!I151</f>
        <v>45876</v>
      </c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>
      <c r="A152" s="13" t="str">
        <f>Base!A152</f>
        <v>San Juan (PRSJU)</v>
      </c>
      <c r="B152" s="14" t="s">
        <v>229</v>
      </c>
      <c r="C152" s="12">
        <f>Base!C152</f>
        <v>36</v>
      </c>
      <c r="D152" s="12" t="str">
        <f>Base!D152</f>
        <v>HAPAG</v>
      </c>
      <c r="E152" s="15">
        <f>SUM(Base!E152+1200)</f>
        <v>4400</v>
      </c>
      <c r="F152" s="15">
        <f>SUM(Base!G152+1400)</f>
        <v>5000</v>
      </c>
      <c r="G152" s="16">
        <f>Base!I152</f>
        <v>45876</v>
      </c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>
      <c r="A153" s="13" t="str">
        <f>Base!A153</f>
        <v>Santiago (CLSCL)</v>
      </c>
      <c r="B153" s="12" t="str">
        <f>Base!B153</f>
        <v>San Antonio</v>
      </c>
      <c r="C153" s="12">
        <f>Base!C153</f>
        <v>28</v>
      </c>
      <c r="D153" s="12" t="str">
        <f>Base!D153</f>
        <v>MAERSK</v>
      </c>
      <c r="E153" s="15">
        <f>SUM(Base!E153+1200)</f>
        <v>4700</v>
      </c>
      <c r="F153" s="15">
        <f>SUM(Base!G153+1400)</f>
        <v>5200</v>
      </c>
      <c r="G153" s="16">
        <f>Base!I153</f>
        <v>45876</v>
      </c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>
      <c r="A154" s="13" t="str">
        <f>Base!A154</f>
        <v>Santo Domingo (DOSDQ)</v>
      </c>
      <c r="B154" s="14" t="s">
        <v>229</v>
      </c>
      <c r="C154" s="12">
        <f>Base!C154</f>
        <v>25</v>
      </c>
      <c r="D154" s="12" t="str">
        <f>Base!D154</f>
        <v>MAERSK</v>
      </c>
      <c r="E154" s="15">
        <f>SUM(Base!E154+1200)</f>
        <v>4000</v>
      </c>
      <c r="F154" s="15">
        <f>SUM(Base!G154+1400)</f>
        <v>4400</v>
      </c>
      <c r="G154" s="16">
        <f>Base!I154</f>
        <v>45876</v>
      </c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>
      <c r="A155" s="13" t="str">
        <f>Base!A155</f>
        <v>Santos (BRSSZ)</v>
      </c>
      <c r="B155" s="14" t="s">
        <v>229</v>
      </c>
      <c r="C155" s="12">
        <f>Base!C155</f>
        <v>7</v>
      </c>
      <c r="D155" s="12" t="str">
        <f>Base!D155</f>
        <v>HAPAG</v>
      </c>
      <c r="E155" s="15">
        <f>SUM(Base!E155+1200)</f>
        <v>1650</v>
      </c>
      <c r="F155" s="15">
        <f>SUM(Base!G155+1400)</f>
        <v>1900</v>
      </c>
      <c r="G155" s="16">
        <f>Base!I155</f>
        <v>45876</v>
      </c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>
      <c r="A156" s="13" t="str">
        <f>Base!A156</f>
        <v>Saskatoon</v>
      </c>
      <c r="B156" s="12" t="str">
        <f>Base!B156</f>
        <v>Vancouver</v>
      </c>
      <c r="C156" s="12">
        <f>Base!C156</f>
        <v>66</v>
      </c>
      <c r="D156" s="12" t="str">
        <f>Base!D156</f>
        <v>MSC</v>
      </c>
      <c r="E156" s="15">
        <f>SUM(Base!E156+1200)</f>
        <v>7200</v>
      </c>
      <c r="F156" s="15">
        <f>SUM(Base!G156+1400)</f>
        <v>8350</v>
      </c>
      <c r="G156" s="16">
        <f>Base!I156</f>
        <v>45876</v>
      </c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>
      <c r="A157" s="13" t="str">
        <f>Base!A157</f>
        <v>Savannah (USSAV)</v>
      </c>
      <c r="B157" s="14" t="s">
        <v>229</v>
      </c>
      <c r="C157" s="12">
        <f>Base!C157</f>
        <v>34</v>
      </c>
      <c r="D157" s="12" t="str">
        <f>Base!D157</f>
        <v>CMA</v>
      </c>
      <c r="E157" s="15">
        <f>SUM(Base!E157+1200)</f>
        <v>5000</v>
      </c>
      <c r="F157" s="15">
        <f>SUM(Base!G157+1400)</f>
        <v>5400</v>
      </c>
      <c r="G157" s="16">
        <f>Base!I157</f>
        <v>45876</v>
      </c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>
      <c r="A158" s="13" t="str">
        <f>Base!A158</f>
        <v>Seatlle (USSEA)</v>
      </c>
      <c r="B158" s="14" t="s">
        <v>229</v>
      </c>
      <c r="C158" s="12">
        <f>Base!C158</f>
        <v>70</v>
      </c>
      <c r="D158" s="12" t="str">
        <f>Base!D158</f>
        <v>CMA</v>
      </c>
      <c r="E158" s="15">
        <f>SUM(Base!E158+1200)</f>
        <v>5550</v>
      </c>
      <c r="F158" s="15">
        <f>SUM(Base!G158+1400)</f>
        <v>7100</v>
      </c>
      <c r="G158" s="16">
        <f>Base!I158</f>
        <v>45876</v>
      </c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>
      <c r="A159" s="13" t="str">
        <f>Base!A159</f>
        <v>Shanghai - CNSHA</v>
      </c>
      <c r="B159" s="14" t="s">
        <v>229</v>
      </c>
      <c r="C159" s="12">
        <f>Base!C159</f>
        <v>46</v>
      </c>
      <c r="D159" s="12" t="str">
        <f>Base!D159</f>
        <v>MAERSK</v>
      </c>
      <c r="E159" s="15">
        <f>SUM(Base!E159+1200)</f>
        <v>2200</v>
      </c>
      <c r="F159" s="15">
        <f>SUM(Base!G159+1400)</f>
        <v>2400</v>
      </c>
      <c r="G159" s="16">
        <f>Base!I159</f>
        <v>45876</v>
      </c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>
      <c r="A160" s="13" t="str">
        <f>Base!A160</f>
        <v>Shuwaikh Port - KWSWK</v>
      </c>
      <c r="B160" s="14" t="s">
        <v>229</v>
      </c>
      <c r="C160" s="12">
        <f>Base!C160</f>
        <v>64</v>
      </c>
      <c r="D160" s="12" t="str">
        <f>Base!D160</f>
        <v>HAPAG</v>
      </c>
      <c r="E160" s="15">
        <f>SUM(Base!E160+1200)</f>
        <v>5200</v>
      </c>
      <c r="F160" s="15">
        <f>SUM(Base!G160+1400)</f>
        <v>6750</v>
      </c>
      <c r="G160" s="16">
        <f>Base!I160</f>
        <v>45876</v>
      </c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>
      <c r="A161" s="13" t="str">
        <f>Base!A161</f>
        <v>Sines (PTSIE)</v>
      </c>
      <c r="B161" s="12" t="str">
        <f>Base!B161</f>
        <v>Lisboa</v>
      </c>
      <c r="C161" s="12">
        <f>Base!C161</f>
        <v>32</v>
      </c>
      <c r="D161" s="12" t="str">
        <f>Base!D161</f>
        <v>MAERSK</v>
      </c>
      <c r="E161" s="15">
        <f>SUM(Base!E161+1200)</f>
        <v>2800</v>
      </c>
      <c r="F161" s="15">
        <f>SUM(Base!G161+1400)</f>
        <v>2850</v>
      </c>
      <c r="G161" s="16">
        <f>Base!I161</f>
        <v>45876</v>
      </c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>
      <c r="A162" s="13" t="str">
        <f>Base!A162</f>
        <v>Singapore - SGSIN</v>
      </c>
      <c r="B162" s="14" t="s">
        <v>229</v>
      </c>
      <c r="C162" s="12">
        <f>Base!C162</f>
        <v>37</v>
      </c>
      <c r="D162" s="12" t="str">
        <f>Base!D162</f>
        <v>CMA</v>
      </c>
      <c r="E162" s="15">
        <f>SUM(Base!E162+1200)</f>
        <v>1850</v>
      </c>
      <c r="F162" s="15">
        <f>SUM(Base!G162+1400)</f>
        <v>2100</v>
      </c>
      <c r="G162" s="16">
        <f>Base!I162</f>
        <v>45876</v>
      </c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>
      <c r="A163" s="13" t="str">
        <f>Base!A163</f>
        <v>Soedertaelje (SESOE)</v>
      </c>
      <c r="B163" s="14" t="s">
        <v>229</v>
      </c>
      <c r="C163" s="12">
        <f>Base!C163</f>
        <v>47</v>
      </c>
      <c r="D163" s="12" t="str">
        <f>Base!D163</f>
        <v>HAPAG</v>
      </c>
      <c r="E163" s="15">
        <f>SUM(Base!E163+1200)</f>
        <v>3400</v>
      </c>
      <c r="F163" s="15">
        <f>SUM(Base!G163+1400)</f>
        <v>4600</v>
      </c>
      <c r="G163" s="16">
        <f>Base!I163</f>
        <v>45876</v>
      </c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>
      <c r="A164" s="13" t="str">
        <f>Base!A164</f>
        <v>Sohar - OMSOH</v>
      </c>
      <c r="B164" s="14" t="s">
        <v>229</v>
      </c>
      <c r="C164" s="12">
        <f>Base!C164</f>
        <v>60</v>
      </c>
      <c r="D164" s="12" t="str">
        <f>Base!D164</f>
        <v>MAERSK</v>
      </c>
      <c r="E164" s="15">
        <f>SUM(Base!E164+1200)</f>
        <v>2000</v>
      </c>
      <c r="F164" s="15">
        <f>SUM(Base!G164+1400)</f>
        <v>2500</v>
      </c>
      <c r="G164" s="16">
        <f>Base!I164</f>
        <v>45876</v>
      </c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>
      <c r="A165" s="13" t="str">
        <f>Base!A165</f>
        <v>Southampton (GBSOU)</v>
      </c>
      <c r="B165" s="14" t="s">
        <v>229</v>
      </c>
      <c r="C165" s="12">
        <f>Base!C165</f>
        <v>38</v>
      </c>
      <c r="D165" s="12" t="str">
        <f>Base!D165</f>
        <v>MAERSK</v>
      </c>
      <c r="E165" s="15">
        <f>SUM(Base!E165+1200)</f>
        <v>2550</v>
      </c>
      <c r="F165" s="15">
        <f>SUM(Base!G165+1400)</f>
        <v>2900</v>
      </c>
      <c r="G165" s="16">
        <f>Base!I165</f>
        <v>45876</v>
      </c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>
      <c r="A166" s="13" t="str">
        <f>Base!A166</f>
        <v>Suape (BRSUA)</v>
      </c>
      <c r="B166" s="14" t="s">
        <v>229</v>
      </c>
      <c r="C166" s="12">
        <f>Base!C166</f>
        <v>15</v>
      </c>
      <c r="D166" s="12" t="str">
        <f>Base!D166</f>
        <v>Mercosul</v>
      </c>
      <c r="E166" s="15">
        <f>SUM(Base!E166+1200)</f>
        <v>2100</v>
      </c>
      <c r="F166" s="15">
        <f>SUM(Base!G166+1400)</f>
        <v>2270</v>
      </c>
      <c r="G166" s="16">
        <f>Base!I166</f>
        <v>45876</v>
      </c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>
      <c r="A167" s="13" t="str">
        <f>Base!A167</f>
        <v>Sydney (AUSYD)</v>
      </c>
      <c r="B167" s="14" t="s">
        <v>229</v>
      </c>
      <c r="C167" s="12">
        <f>Base!C167</f>
        <v>54</v>
      </c>
      <c r="D167" s="12" t="str">
        <f>Base!D167</f>
        <v>MAERSK</v>
      </c>
      <c r="E167" s="15">
        <f>SUM(Base!E167+1200)</f>
        <v>2350</v>
      </c>
      <c r="F167" s="15">
        <f>SUM(Base!G167+1400)</f>
        <v>2450</v>
      </c>
      <c r="G167" s="16">
        <f>Base!I167</f>
        <v>45876</v>
      </c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>
      <c r="A168" s="13" t="str">
        <f>Base!A168</f>
        <v>Tacoma (USTIW)</v>
      </c>
      <c r="B168" s="12" t="str">
        <f>Base!B168</f>
        <v>New York</v>
      </c>
      <c r="C168" s="12">
        <f>Base!C168</f>
        <v>40</v>
      </c>
      <c r="D168" s="12" t="str">
        <f>Base!D168</f>
        <v>HAPAG</v>
      </c>
      <c r="E168" s="15">
        <f>SUM(Base!E168+1200)</f>
        <v>9350</v>
      </c>
      <c r="F168" s="15">
        <f>SUM(Base!G168+1400)</f>
        <v>9950</v>
      </c>
      <c r="G168" s="16">
        <f>Base!I168</f>
        <v>45876</v>
      </c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>
      <c r="A169" s="13" t="str">
        <f>Base!A169</f>
        <v>Tanger (MAPTM)</v>
      </c>
      <c r="B169" s="14" t="s">
        <v>229</v>
      </c>
      <c r="C169" s="12">
        <f>Base!C169</f>
        <v>34</v>
      </c>
      <c r="D169" s="12" t="str">
        <f>Base!D169</f>
        <v>HAPAG</v>
      </c>
      <c r="E169" s="15">
        <f>SUM(Base!E169+1200)</f>
        <v>2550</v>
      </c>
      <c r="F169" s="15">
        <f>SUM(Base!G169+1400)</f>
        <v>2950</v>
      </c>
      <c r="G169" s="16">
        <f>Base!I169</f>
        <v>45876</v>
      </c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>
      <c r="A170" s="13" t="str">
        <f>Base!A170</f>
        <v>Tegucigalpa (HNTGU)</v>
      </c>
      <c r="B170" s="12" t="str">
        <f>Base!B170</f>
        <v>Puerto Cortes</v>
      </c>
      <c r="C170" s="12">
        <f>Base!C170</f>
        <v>42</v>
      </c>
      <c r="D170" s="12" t="str">
        <f>Base!D170</f>
        <v>HAPAG</v>
      </c>
      <c r="E170" s="15">
        <f>SUM(Base!E170+1200)</f>
        <v>5600</v>
      </c>
      <c r="F170" s="15">
        <f>SUM(Base!G170+1400)</f>
        <v>6150</v>
      </c>
      <c r="G170" s="16">
        <f>Base!I170</f>
        <v>45876</v>
      </c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>
      <c r="A171" s="13" t="str">
        <f>Base!A171</f>
        <v>Thessaloniki (GRSKG)</v>
      </c>
      <c r="B171" s="14" t="s">
        <v>229</v>
      </c>
      <c r="C171" s="12">
        <f>Base!C171</f>
        <v>42</v>
      </c>
      <c r="D171" s="12" t="str">
        <f>Base!D171</f>
        <v>CMA</v>
      </c>
      <c r="E171" s="15">
        <f>SUM(Base!E171+1200)</f>
        <v>3100</v>
      </c>
      <c r="F171" s="15">
        <f>SUM(Base!G171+1400)</f>
        <v>4250</v>
      </c>
      <c r="G171" s="16">
        <f>Base!I171</f>
        <v>45876</v>
      </c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>
      <c r="A172" s="13" t="str">
        <f>Base!A172</f>
        <v>Thessaloniki (GRSKG)</v>
      </c>
      <c r="B172" s="14" t="s">
        <v>229</v>
      </c>
      <c r="C172" s="12">
        <f>Base!C172</f>
        <v>74</v>
      </c>
      <c r="D172" s="12" t="str">
        <f>Base!D172</f>
        <v>HAPAG</v>
      </c>
      <c r="E172" s="15">
        <f>SUM(Base!E172+1200)</f>
        <v>2550</v>
      </c>
      <c r="F172" s="15">
        <f>SUM(Base!G172+1400)</f>
        <v>3050</v>
      </c>
      <c r="G172" s="16">
        <f>Base!I172</f>
        <v>45876</v>
      </c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>
      <c r="A173" s="13" t="str">
        <f>Base!A173</f>
        <v>Tianjin - CNTXG</v>
      </c>
      <c r="B173" s="14" t="s">
        <v>229</v>
      </c>
      <c r="C173" s="12">
        <f>Base!C173</f>
        <v>54</v>
      </c>
      <c r="D173" s="12" t="str">
        <f>Base!D173</f>
        <v>MAERSK</v>
      </c>
      <c r="E173" s="15">
        <f>SUM(Base!E173+1200)</f>
        <v>2150</v>
      </c>
      <c r="F173" s="15">
        <f>SUM(Base!G173+1400)</f>
        <v>2300</v>
      </c>
      <c r="G173" s="16">
        <f>Base!I173</f>
        <v>45876</v>
      </c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>
      <c r="A174" s="13" t="str">
        <f>Base!A174</f>
        <v>Toronto (CATOR)</v>
      </c>
      <c r="B174" s="14" t="s">
        <v>229</v>
      </c>
      <c r="C174" s="12">
        <f>Base!C174</f>
        <v>45</v>
      </c>
      <c r="D174" s="12" t="str">
        <f>Base!D174</f>
        <v>MSC</v>
      </c>
      <c r="E174" s="15">
        <f>SUM(Base!E174+1200)</f>
        <v>6250</v>
      </c>
      <c r="F174" s="15">
        <f>SUM(Base!G174+1400)</f>
        <v>6650</v>
      </c>
      <c r="G174" s="16">
        <f>Base!I174</f>
        <v>45876</v>
      </c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>
      <c r="A175" s="13" t="str">
        <f>Base!A175</f>
        <v>Tunes (Tunis) - TUTUN</v>
      </c>
      <c r="B175" s="14" t="s">
        <v>229</v>
      </c>
      <c r="C175" s="12">
        <f>Base!C175</f>
        <v>33</v>
      </c>
      <c r="D175" s="12" t="str">
        <f>Base!D175</f>
        <v>MAERSK</v>
      </c>
      <c r="E175" s="15">
        <f>SUM(Base!E175+1200)</f>
        <v>2300</v>
      </c>
      <c r="F175" s="15">
        <f>SUM(Base!G175+1400)</f>
        <v>3800</v>
      </c>
      <c r="G175" s="16">
        <f>Base!I175</f>
        <v>45876</v>
      </c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>
      <c r="A176" s="13" t="str">
        <f>Base!A176</f>
        <v>Valencia (ESVLC)</v>
      </c>
      <c r="B176" s="14" t="s">
        <v>229</v>
      </c>
      <c r="C176" s="12">
        <f>Base!C176</f>
        <v>29</v>
      </c>
      <c r="D176" s="12" t="str">
        <f>Base!D176</f>
        <v>MAERSK</v>
      </c>
      <c r="E176" s="15">
        <f>SUM(Base!E176+1200)</f>
        <v>2000</v>
      </c>
      <c r="F176" s="15">
        <f>SUM(Base!G176+1400)</f>
        <v>2450</v>
      </c>
      <c r="G176" s="16">
        <f>Base!I176</f>
        <v>45876</v>
      </c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>
      <c r="A177" s="13" t="str">
        <f>Base!A177</f>
        <v>Vancouver (CAVAN)</v>
      </c>
      <c r="B177" s="14" t="s">
        <v>229</v>
      </c>
      <c r="C177" s="12">
        <f>Base!C177</f>
        <v>50</v>
      </c>
      <c r="D177" s="12" t="str">
        <f>Base!D177</f>
        <v>MSC</v>
      </c>
      <c r="E177" s="15">
        <f>SUM(Base!E177+1200)</f>
        <v>5950</v>
      </c>
      <c r="F177" s="15">
        <f>SUM(Base!G177+1400)</f>
        <v>6450</v>
      </c>
      <c r="G177" s="16">
        <f>Base!I177</f>
        <v>45876</v>
      </c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>
      <c r="A178" s="13" t="str">
        <f>Base!A178</f>
        <v>Vancouver (CAVAN)</v>
      </c>
      <c r="B178" s="14" t="s">
        <v>229</v>
      </c>
      <c r="C178" s="12">
        <f>Base!C178</f>
        <v>72</v>
      </c>
      <c r="D178" s="12" t="str">
        <f>Base!D178</f>
        <v>CMA</v>
      </c>
      <c r="E178" s="15">
        <f>SUM(Base!E178+1200)</f>
        <v>5550</v>
      </c>
      <c r="F178" s="15">
        <f>SUM(Base!G178+1400)</f>
        <v>7050</v>
      </c>
      <c r="G178" s="16">
        <f>Base!I178</f>
        <v>45876</v>
      </c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>
      <c r="A179" s="13" t="str">
        <f>Base!A179</f>
        <v>Venezia (ITVCE)</v>
      </c>
      <c r="B179" s="14" t="s">
        <v>229</v>
      </c>
      <c r="C179" s="12">
        <f>Base!C179</f>
        <v>45</v>
      </c>
      <c r="D179" s="12" t="str">
        <f>Base!D179</f>
        <v>MAERSK</v>
      </c>
      <c r="E179" s="15">
        <f>SUM(Base!E179+1200)</f>
        <v>2280</v>
      </c>
      <c r="F179" s="15">
        <f>SUM(Base!G179+1400)</f>
        <v>2750</v>
      </c>
      <c r="G179" s="16">
        <f>Base!I179</f>
        <v>45876</v>
      </c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>
      <c r="A180" s="13" t="str">
        <f>Base!A180</f>
        <v>Veracruz (MXVER)</v>
      </c>
      <c r="B180" s="14" t="s">
        <v>229</v>
      </c>
      <c r="C180" s="12">
        <f>Base!C180</f>
        <v>32</v>
      </c>
      <c r="D180" s="12" t="str">
        <f>Base!D180</f>
        <v>MAERSK</v>
      </c>
      <c r="E180" s="15">
        <f>SUM(Base!E180+1200)</f>
        <v>3600</v>
      </c>
      <c r="F180" s="15">
        <f>SUM(Base!G180+1400)</f>
        <v>4100</v>
      </c>
      <c r="G180" s="16">
        <f>Base!I180</f>
        <v>45876</v>
      </c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>
      <c r="A181" s="13" t="str">
        <f>Base!A181</f>
        <v>Vienna (ATVIE)</v>
      </c>
      <c r="B181" s="12" t="str">
        <f>Base!B181</f>
        <v>Hamburgo</v>
      </c>
      <c r="C181" s="12">
        <f>Base!C181</f>
        <v>49</v>
      </c>
      <c r="D181" s="12" t="str">
        <f>Base!D181</f>
        <v>HAPAG</v>
      </c>
      <c r="E181" s="15">
        <f>SUM(Base!E181+1200)</f>
        <v>2750</v>
      </c>
      <c r="F181" s="15">
        <f>SUM(Base!G181+1400)</f>
        <v>3250</v>
      </c>
      <c r="G181" s="16">
        <f>Base!I181</f>
        <v>45876</v>
      </c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>
      <c r="A182" s="13" t="str">
        <f>Base!A182</f>
        <v>Vigo (ESVGO)</v>
      </c>
      <c r="B182" s="14" t="s">
        <v>229</v>
      </c>
      <c r="C182" s="12">
        <f>Base!C182</f>
        <v>27</v>
      </c>
      <c r="D182" s="12" t="str">
        <f>Base!D182</f>
        <v>CMA</v>
      </c>
      <c r="E182" s="15">
        <f>SUM(Base!E182+1200)</f>
        <v>3100</v>
      </c>
      <c r="F182" s="15">
        <f>SUM(Base!G182+1400)</f>
        <v>3450</v>
      </c>
      <c r="G182" s="16">
        <f>Base!I182</f>
        <v>45876</v>
      </c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>
      <c r="A183" s="13" t="str">
        <f>Base!A183</f>
        <v>Willemstad (CWWIL)</v>
      </c>
      <c r="B183" s="14" t="s">
        <v>229</v>
      </c>
      <c r="C183" s="12">
        <f>Base!C183</f>
        <v>29</v>
      </c>
      <c r="D183" s="12" t="str">
        <f>Base!D183</f>
        <v>HAPAG</v>
      </c>
      <c r="E183" s="15">
        <f>SUM(Base!E183+1200)</f>
        <v>6900</v>
      </c>
      <c r="F183" s="15">
        <f>SUM(Base!G183+1400)</f>
        <v>8250</v>
      </c>
      <c r="G183" s="16">
        <f>Base!I183</f>
        <v>45876</v>
      </c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>
      <c r="A184" s="13" t="str">
        <f>Base!A184</f>
        <v>Winnipeg</v>
      </c>
      <c r="B184" s="12" t="str">
        <f>Base!B184</f>
        <v>Montreal</v>
      </c>
      <c r="C184" s="12">
        <f>Base!C184</f>
        <v>57</v>
      </c>
      <c r="D184" s="12" t="str">
        <f>Base!D184</f>
        <v>MSC</v>
      </c>
      <c r="E184" s="15">
        <f>SUM(Base!E184+1200)</f>
        <v>7450</v>
      </c>
      <c r="F184" s="15">
        <f>SUM(Base!G184+1400)</f>
        <v>8700</v>
      </c>
      <c r="G184" s="16">
        <f>Base!I184</f>
        <v>45876</v>
      </c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>
      <c r="A185" s="13" t="str">
        <f>Base!A185</f>
        <v>Jeddah, Arabia Saudita</v>
      </c>
      <c r="B185" s="12" t="str">
        <f>Base!B185</f>
        <v/>
      </c>
      <c r="C185" s="12">
        <f>Base!C185</f>
        <v>51</v>
      </c>
      <c r="D185" s="12" t="str">
        <f>Base!D185</f>
        <v>MSC</v>
      </c>
      <c r="E185" s="15">
        <f>SUM(Base!E185+1200)</f>
        <v>4650</v>
      </c>
      <c r="F185" s="15"/>
      <c r="G185" s="16" t="str">
        <f>Base!I185</f>
        <v/>
      </c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>
      <c r="A186" s="13" t="str">
        <f>Base!A186</f>
        <v>Zurich (CHZRH)</v>
      </c>
      <c r="B186" s="12" t="str">
        <f>Base!B186</f>
        <v>Rotterdam</v>
      </c>
      <c r="C186" s="12">
        <f>Base!C186</f>
        <v>27</v>
      </c>
      <c r="D186" s="12" t="str">
        <f>Base!D186</f>
        <v>CMA</v>
      </c>
      <c r="E186" s="15">
        <f>SUM(Base!E186+1200)</f>
        <v>3200</v>
      </c>
      <c r="F186" s="15">
        <f>SUM(Base!G186+1400)</f>
        <v>3600</v>
      </c>
      <c r="G186" s="16">
        <f>Base!I186</f>
        <v>45876</v>
      </c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>
      <c r="A187" s="12" t="str">
        <f>Base!A187</f>
        <v/>
      </c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>
      <c r="A188" s="12" t="str">
        <f>Base!A188</f>
        <v/>
      </c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>
      <c r="A189" s="12" t="str">
        <f>Base!A189</f>
        <v/>
      </c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>
      <c r="A190" s="12" t="str">
        <f>Base!A190</f>
        <v/>
      </c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>
      <c r="A191" s="12" t="str">
        <f>Base!A191</f>
        <v/>
      </c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>
      <c r="A192" s="12" t="str">
        <f>Base!A192</f>
        <v/>
      </c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>
      <c r="A193" s="12" t="str">
        <f>Base!A193</f>
        <v/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>
      <c r="A194" s="12" t="str">
        <f>Base!A194</f>
        <v/>
      </c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>
      <c r="A195" s="12" t="str">
        <f>Base!A195</f>
        <v/>
      </c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>
      <c r="A196" s="12" t="str">
        <f>Base!A196</f>
        <v/>
      </c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>
      <c r="A197" s="12" t="str">
        <f>Base!A197</f>
        <v/>
      </c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>
      <c r="A198" s="12" t="str">
        <f>Base!A198</f>
        <v/>
      </c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>
      <c r="A199" s="12" t="str">
        <f>Base!A199</f>
        <v/>
      </c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>
      <c r="A200" s="12" t="str">
        <f>Base!A200</f>
        <v/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</row>
  </sheetData>
  <autoFilter ref="$A$1:$G$186"/>
  <drawing r:id="rId1"/>
</worksheet>
</file>