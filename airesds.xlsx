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facun\OneDrive\Documentos\GitHub\liftvan_ypf\"/>
    </mc:Choice>
  </mc:AlternateContent>
  <xr:revisionPtr revIDLastSave="0" documentId="13_ncr:1_{6DA6E9D2-4B7F-44C8-9C29-ECF8CDE0421D}" xr6:coauthVersionLast="47" xr6:coauthVersionMax="47" xr10:uidLastSave="{00000000-0000-0000-0000-000000000000}"/>
  <bookViews>
    <workbookView xWindow="3075" yWindow="1440" windowWidth="20490" windowHeight="10905" xr2:uid="{00000000-000D-0000-FFFF-FFFF00000000}"/>
  </bookViews>
  <sheets>
    <sheet name="Tabelle1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25" i="1" l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<sst xmlns="http://schemas.openxmlformats.org/spreadsheetml/2006/main" count="3" uniqueCount="3">
  <si>
    <t>destino</t>
  </si>
  <si>
    <t>veinte</t>
  </si>
  <si>
    <t>curenta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</si>
</sst>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]#,##0.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2E9"/>
        <bgColor rgb="FFD9D2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acun\OneDrive\Documentos\GitHub\liftvan_ypf\Fletes%20-%20Aires%20-%20FCL.xlsx" TargetMode="External"/><Relationship Id="rId1" Type="http://schemas.openxmlformats.org/officeDocument/2006/relationships/externalLinkPath" Target="Fletes%20-%20Aires%20-%20FC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se"/>
      <sheetName val="Precio fletes"/>
    </sheetNames>
    <sheetDataSet>
      <sheetData sheetId="0">
        <row r="2">
          <cell r="A2" t="str">
            <v>Abu Dhabi - AEAUH</v>
          </cell>
        </row>
        <row r="3">
          <cell r="A3" t="str">
            <v>Alexandria (EGALY)</v>
          </cell>
        </row>
        <row r="4">
          <cell r="A4" t="str">
            <v>Algeciras (ESALG)</v>
          </cell>
        </row>
        <row r="5">
          <cell r="A5" t="str">
            <v>Altamira</v>
          </cell>
        </row>
        <row r="6">
          <cell r="A6" t="str">
            <v>Antwerp (BEANR)</v>
          </cell>
        </row>
        <row r="7">
          <cell r="A7" t="str">
            <v>Arica (CLARI)</v>
          </cell>
        </row>
        <row r="8">
          <cell r="A8" t="str">
            <v>Ashdod (ILASH)</v>
          </cell>
        </row>
        <row r="9">
          <cell r="A9" t="str">
            <v>*Atlanta (USATL) (Inland- Via Charleston)</v>
          </cell>
        </row>
        <row r="10">
          <cell r="A10" t="str">
            <v>Auckland (NZAKL)</v>
          </cell>
        </row>
        <row r="11">
          <cell r="A11" t="str">
            <v>Baltimore (USBAL)</v>
          </cell>
        </row>
        <row r="12">
          <cell r="A12" t="str">
            <v>*Balboa (PABLB)</v>
          </cell>
        </row>
        <row r="13">
          <cell r="A13" t="str">
            <v>Barcelona (ESBCN)</v>
          </cell>
        </row>
        <row r="14">
          <cell r="A14" t="str">
            <v>*BASSENS/GIRONDE (FRBAS)</v>
          </cell>
        </row>
        <row r="15">
          <cell r="A15" t="str">
            <v>Bogota (COBOG)</v>
          </cell>
        </row>
        <row r="16">
          <cell r="A16" t="str">
            <v>Bremerhaven (DEBRV)</v>
          </cell>
        </row>
        <row r="17">
          <cell r="A17" t="str">
            <v>Brisbane (AUBNE)</v>
          </cell>
        </row>
        <row r="18">
          <cell r="A18" t="str">
            <v>*Budapest (HUBUD) (Inland Rail - Via Hamburg)</v>
          </cell>
        </row>
        <row r="19">
          <cell r="A19" t="str">
            <v>Buenaventura (COBUN)</v>
          </cell>
        </row>
        <row r="20">
          <cell r="A20" t="str">
            <v xml:space="preserve"> Busan, KR - (KRPUS)</v>
          </cell>
        </row>
        <row r="21">
          <cell r="A21" t="str">
            <v>*CAGLIARI (ITCAG)</v>
          </cell>
        </row>
        <row r="22">
          <cell r="A22" t="str">
            <v>Callao (PECLL)</v>
          </cell>
        </row>
        <row r="23">
          <cell r="A23" t="str">
            <v>Cartagena Port Colombia (COCTG)</v>
          </cell>
        </row>
        <row r="24">
          <cell r="A24" t="str">
            <v>Casablanca</v>
          </cell>
        </row>
        <row r="25">
          <cell r="A25" t="str">
            <v>Caucedo (DOCAU)</v>
          </cell>
        </row>
        <row r="26">
          <cell r="A26" t="str">
            <v>Charleston (USCHS)</v>
          </cell>
        </row>
        <row r="27">
          <cell r="A27" t="str">
            <v>*CHARLOTTE, NC (USCLT)  (Via Charleston)</v>
          </cell>
        </row>
        <row r="28">
          <cell r="A28" t="str">
            <v>*Chicago, IL (USCHI) - (via NYC)</v>
          </cell>
        </row>
        <row r="29">
          <cell r="A29" t="str">
            <v>*Cleveland (USCLE)</v>
          </cell>
        </row>
        <row r="30">
          <cell r="A30" t="str">
            <v>Constanta (ROCND)</v>
          </cell>
        </row>
        <row r="31">
          <cell r="A31" t="str">
            <v>Copenhagen (DKCPH)</v>
          </cell>
        </row>
        <row r="32">
          <cell r="A32" t="str">
            <v>*Dallas (USDAL) (inland incluido, via Houston)</v>
          </cell>
        </row>
        <row r="33">
          <cell r="A33" t="str">
            <v>*Denver (USDEN) (Via Houston)</v>
          </cell>
        </row>
        <row r="34">
          <cell r="A34" t="str">
            <v>*Detroit (USDET)</v>
          </cell>
        </row>
        <row r="35">
          <cell r="A35" t="str">
            <v>Dublin (IEDUB)</v>
          </cell>
        </row>
        <row r="36">
          <cell r="A36" t="str">
            <v>*Edmonton Terminal (via Panama / Vancouver / inland incluido) [USEDC KY]</v>
          </cell>
        </row>
        <row r="37">
          <cell r="A37" t="str">
            <v>*Estocolmo (SESTO)</v>
          </cell>
        </row>
        <row r="38">
          <cell r="A38" t="str">
            <v>Felixstowe (GBFXT)</v>
          </cell>
        </row>
        <row r="39">
          <cell r="A39" t="str">
            <v>Fos sur Mer (FRFOS)</v>
          </cell>
        </row>
        <row r="40">
          <cell r="A40" t="str">
            <v>Fremantle (AUFRE)</v>
          </cell>
        </row>
        <row r="41">
          <cell r="A41" t="str">
            <v>Genoa (ITGOA)</v>
          </cell>
        </row>
        <row r="42">
          <cell r="A42" t="str">
            <v>Gdynia (PLGDY)</v>
          </cell>
        </row>
        <row r="43">
          <cell r="A43" t="str">
            <v>Guayaquil (ECGYE)</v>
          </cell>
        </row>
        <row r="44">
          <cell r="A44" t="str">
            <v>Haifa (ILHFA)</v>
          </cell>
        </row>
        <row r="45">
          <cell r="A45" t="str">
            <v>Halifax Port, Canada (via Cartagena)</v>
          </cell>
        </row>
        <row r="46">
          <cell r="A46" t="str">
            <v>Hamburg (DEHAM)</v>
          </cell>
        </row>
        <row r="47">
          <cell r="A47" t="str">
            <v>Houston (USHOU)</v>
          </cell>
        </row>
        <row r="48">
          <cell r="A48" t="str">
            <v>Incheon (KRINC)</v>
          </cell>
        </row>
        <row r="49">
          <cell r="A49" t="str">
            <v>Jacksonville  FL (USJAX)</v>
          </cell>
        </row>
        <row r="50">
          <cell r="A50" t="str">
            <v>Jebel Ali (AEJEA)</v>
          </cell>
        </row>
        <row r="51">
          <cell r="A51" t="str">
            <v>Karachi (PKKHI)</v>
          </cell>
        </row>
        <row r="52">
          <cell r="A52" t="str">
            <v>Keelung (TWKEL)</v>
          </cell>
        </row>
        <row r="53">
          <cell r="A53" t="str">
            <v>Klang (MYPKG)</v>
          </cell>
        </row>
        <row r="54">
          <cell r="A54" t="str">
            <v>La Guaira  (VELAG)</v>
          </cell>
        </row>
        <row r="55">
          <cell r="A55" t="str">
            <v>Le Havre (FRLEH)</v>
          </cell>
        </row>
        <row r="56">
          <cell r="A56" t="str">
            <v>Leixões, Portugal</v>
          </cell>
        </row>
        <row r="57">
          <cell r="A57" t="str">
            <v>Lagos (NGLOS), Nigeria</v>
          </cell>
        </row>
        <row r="58">
          <cell r="A58" t="str">
            <v>Lisboa (PTLIS)</v>
          </cell>
        </row>
        <row r="59">
          <cell r="A59" t="str">
            <v>Lyttelton (NZLYT)</v>
          </cell>
        </row>
        <row r="60">
          <cell r="A60" t="str">
            <v>Livorno (ITLIV)</v>
          </cell>
        </row>
        <row r="61">
          <cell r="A61" t="str">
            <v>Louisville, KY</v>
          </cell>
        </row>
        <row r="62">
          <cell r="A62" t="str">
            <v>London Gateway (GBLGP)</v>
          </cell>
        </row>
        <row r="63">
          <cell r="A63" t="str">
            <v>*Long Beach CA.(USLGB) Inland incluido, Via Los Angeles</v>
          </cell>
        </row>
        <row r="64">
          <cell r="A64" t="str">
            <v>Los Angeles (USLAX)</v>
          </cell>
        </row>
        <row r="65">
          <cell r="A65" t="str">
            <v>*Louisiana (USLUA)</v>
          </cell>
        </row>
        <row r="66">
          <cell r="A66" t="str">
            <v>*Madrid (ESMAD) (Via Valencia - Inland)</v>
          </cell>
        </row>
        <row r="67">
          <cell r="A67" t="str">
            <v>Malaga (ESAGP)</v>
          </cell>
        </row>
        <row r="68">
          <cell r="A68" t="str">
            <v>Malmo (inland) (Puerto de descarga: Helsingborg)</v>
          </cell>
        </row>
        <row r="69">
          <cell r="A69" t="str">
            <v>Manila (PHMNL)</v>
          </cell>
        </row>
        <row r="70">
          <cell r="A70" t="str">
            <v>Manzanillo (PAMIT)</v>
          </cell>
        </row>
        <row r="71">
          <cell r="A71" t="str">
            <v>Manzanillo (MXZLO) (México)</v>
          </cell>
        </row>
        <row r="72">
          <cell r="A72" t="str">
            <v>Melbourne</v>
          </cell>
        </row>
        <row r="73">
          <cell r="A73" t="str">
            <v>*Miami, FL (USMIA) (inland incluido, via Everglades)</v>
          </cell>
        </row>
        <row r="74">
          <cell r="A74" t="str">
            <v>*Milan (ITMIL)</v>
          </cell>
        </row>
        <row r="75">
          <cell r="A75" t="str">
            <v>Montoir DE BRETAGNE (FRMTX)</v>
          </cell>
        </row>
        <row r="76">
          <cell r="A76" t="str">
            <v>Montreal Port, CA (CAMTR)</v>
          </cell>
        </row>
        <row r="77">
          <cell r="A77" t="str">
            <v>Nairobi Terminal  (KENBO)</v>
          </cell>
        </row>
        <row r="78">
          <cell r="A78" t="str">
            <v>*Napoles NAPLES (ITNAP)</v>
          </cell>
        </row>
        <row r="79">
          <cell r="A79" t="str">
            <v>Nassau Bahamas NEW PROVIDENCE ISLAND (BSNAS)</v>
          </cell>
        </row>
        <row r="80">
          <cell r="A80" t="str">
            <v>*New Delhi , India via Mundra (INDEL)</v>
          </cell>
        </row>
        <row r="81">
          <cell r="A81" t="str">
            <v>New Orleans (USMSY)</v>
          </cell>
        </row>
        <row r="82">
          <cell r="A82" t="str">
            <v>New York (USNYC)</v>
          </cell>
        </row>
        <row r="83">
          <cell r="A83" t="str">
            <v>Norfolk (USORF)</v>
          </cell>
        </row>
        <row r="84">
          <cell r="A84" t="str">
            <v>*Oakland (USOAK) (inland - via Houston)</v>
          </cell>
        </row>
        <row r="85">
          <cell r="A85" t="str">
            <v>Onne (NGONN)</v>
          </cell>
        </row>
        <row r="86">
          <cell r="A86" t="str">
            <v>Oslo</v>
          </cell>
        </row>
        <row r="87">
          <cell r="A87" t="str">
            <v xml:space="preserve">*Panama city (PAPTY) </v>
          </cell>
        </row>
        <row r="88">
          <cell r="A88" t="str">
            <v>*Perth (AUPER) Via Fremantle</v>
          </cell>
        </row>
        <row r="89">
          <cell r="A89" t="str">
            <v>*Pittsburgh, PA (USPIT)(inland)</v>
          </cell>
        </row>
        <row r="90">
          <cell r="A90" t="str">
            <v xml:space="preserve"> *Portland  OR (USPDX) (inland incluido)</v>
          </cell>
        </row>
        <row r="91">
          <cell r="A91" t="str">
            <v>Port Everglades (USPEF)</v>
          </cell>
        </row>
        <row r="92">
          <cell r="A92" t="str">
            <v>*Prague (CZPRG) (via Hamburg)</v>
          </cell>
        </row>
        <row r="93">
          <cell r="A93" t="str">
            <v>Puerto de Lanzarote, Islas Canarias (Arrecife de lanzarote)</v>
          </cell>
        </row>
        <row r="94">
          <cell r="A94" t="str">
            <v>Puerto Barrios (GTPBR)</v>
          </cell>
        </row>
        <row r="95">
          <cell r="A95" t="str">
            <v>Puerto Cortes  (HNPCR)</v>
          </cell>
        </row>
        <row r="96">
          <cell r="A96" t="str">
            <v>Puerto Moin (CRPMN)</v>
          </cell>
        </row>
        <row r="97">
          <cell r="A97" t="str">
            <v>Puerto Limon (CRLIO)</v>
          </cell>
        </row>
        <row r="98">
          <cell r="A98" t="str">
            <v>Rabat</v>
          </cell>
        </row>
        <row r="99">
          <cell r="A99" t="str">
            <v>Rio de Janeiro (BRRIO)</v>
          </cell>
        </row>
        <row r="100">
          <cell r="A100" t="str">
            <v>Riyadh (SARUH)</v>
          </cell>
        </row>
        <row r="101">
          <cell r="A101" t="str">
            <v>*Roma (ITRMX) (via Salerno)</v>
          </cell>
        </row>
        <row r="102">
          <cell r="A102" t="str">
            <v>Rotterdam (NLRTM)</v>
          </cell>
        </row>
        <row r="103">
          <cell r="A103" t="str">
            <v>Salvador (BRSSA)</v>
          </cell>
        </row>
        <row r="104">
          <cell r="A104" t="str">
            <v>*Santiago (CLSCL) (inland)</v>
          </cell>
        </row>
        <row r="105">
          <cell r="A105" t="str">
            <v>Santos (BRSSZ)</v>
          </cell>
        </row>
        <row r="106">
          <cell r="A106" t="str">
            <v>San Antonio (CLSAI)</v>
          </cell>
        </row>
        <row r="107">
          <cell r="A107" t="str">
            <v>Santa Cruz Tenerife (ESSCT)</v>
          </cell>
        </row>
        <row r="108">
          <cell r="A108" t="str">
            <v>*Santo Domingo (Inland incluido) via Caucedo (DOSDQ)</v>
          </cell>
        </row>
        <row r="109">
          <cell r="A109" t="str">
            <v>*San Jose CR (CRSJO) (inland) (via Puerto Limon)</v>
          </cell>
        </row>
        <row r="110">
          <cell r="A110" t="str">
            <v>San Juan (PRSJU)</v>
          </cell>
        </row>
        <row r="111">
          <cell r="A111" t="str">
            <v>*Santo Tomas De Castilla (GTSTC)</v>
          </cell>
        </row>
        <row r="112">
          <cell r="A112" t="str">
            <v>SUAPE (BRSUA)</v>
          </cell>
        </row>
        <row r="113">
          <cell r="A113" t="str">
            <v>*Savannah (USSAV)</v>
          </cell>
        </row>
        <row r="114">
          <cell r="A114" t="str">
            <v>*Seatlle (USSEA)</v>
          </cell>
        </row>
        <row r="115">
          <cell r="A115" t="str">
            <v>Shanghai (CNSHA)</v>
          </cell>
        </row>
        <row r="116">
          <cell r="A116" t="str">
            <v>Shuwaikh (KWSWK)</v>
          </cell>
        </row>
        <row r="117">
          <cell r="A117" t="str">
            <v>Singapore (SGSIN)</v>
          </cell>
        </row>
        <row r="118">
          <cell r="A118" t="str">
            <v>Southampton (GBSOU)</v>
          </cell>
        </row>
        <row r="119">
          <cell r="A119" t="str">
            <v>Sydney (AUSYD)</v>
          </cell>
        </row>
        <row r="120">
          <cell r="A120" t="str">
            <v>Tauranga  (NZTRG)</v>
          </cell>
        </row>
        <row r="121">
          <cell r="A121" t="str">
            <v>*Toronto Terminal (inland - via New York) (USTOD)</v>
          </cell>
        </row>
        <row r="122">
          <cell r="A122" t="str">
            <v>Valencia (ESVLC)</v>
          </cell>
        </row>
        <row r="123">
          <cell r="A123" t="str">
            <v>Vancouver (CAVAN) (via Paraná)</v>
          </cell>
        </row>
        <row r="124">
          <cell r="A124" t="str">
            <v>Venecia</v>
          </cell>
        </row>
        <row r="125">
          <cell r="A125" t="str">
            <v>Veracruz (MXVER)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5"/>
  <sheetViews>
    <sheetView tabSelected="1" workbookViewId="0">
      <selection activeCell="E5" sqref="E5"/>
    </sheetView>
  </sheetViews>
  <sheetFormatPr baseColWidth="10" defaultColWidth="9.140625" defaultRowHeight="15" x14ac:dyDescent="0.25"/>
  <cols>
    <col min="1" max="1" width="20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tr">
        <f>[1]Base!A2</f>
        <v>Abu Dhabi - AEAUH</v>
      </c>
      <c r="B2" s="2">
        <v>5972</v>
      </c>
      <c r="C2" s="2">
        <v>7386</v>
      </c>
    </row>
    <row r="3" spans="1:3" x14ac:dyDescent="0.25">
      <c r="A3" s="1" t="str">
        <f>[1]Base!A3</f>
        <v>Alexandria (EGALY)</v>
      </c>
      <c r="B3" s="2">
        <v>2869</v>
      </c>
      <c r="C3" s="2">
        <v>3407</v>
      </c>
    </row>
    <row r="4" spans="1:3" x14ac:dyDescent="0.25">
      <c r="A4" s="1" t="str">
        <f>[1]Base!A4</f>
        <v>Algeciras (ESALG)</v>
      </c>
      <c r="B4" s="2">
        <v>2513</v>
      </c>
      <c r="C4" s="2">
        <v>2529</v>
      </c>
    </row>
    <row r="5" spans="1:3" x14ac:dyDescent="0.25">
      <c r="A5" s="1" t="str">
        <f>[1]Base!A5</f>
        <v>Altamira</v>
      </c>
      <c r="B5" s="2">
        <v>4665</v>
      </c>
      <c r="C5" s="2">
        <v>4584</v>
      </c>
    </row>
    <row r="6" spans="1:3" x14ac:dyDescent="0.25">
      <c r="A6" s="1" t="str">
        <f>[1]Base!A6</f>
        <v>Antwerp (BEANR)</v>
      </c>
      <c r="B6" s="2">
        <v>2727</v>
      </c>
      <c r="C6" s="2">
        <v>3029</v>
      </c>
    </row>
    <row r="7" spans="1:3" x14ac:dyDescent="0.25">
      <c r="A7" s="1" t="str">
        <f>[1]Base!A7</f>
        <v>Arica (CLARI)</v>
      </c>
      <c r="B7" s="2">
        <v>6498</v>
      </c>
      <c r="C7" s="2">
        <v>7184</v>
      </c>
    </row>
    <row r="8" spans="1:3" x14ac:dyDescent="0.25">
      <c r="A8" s="1" t="str">
        <f>[1]Base!A8</f>
        <v>Ashdod (ILASH)</v>
      </c>
      <c r="B8" s="2">
        <v>2253</v>
      </c>
      <c r="C8" s="2">
        <v>2771</v>
      </c>
    </row>
    <row r="9" spans="1:3" ht="45" x14ac:dyDescent="0.25">
      <c r="A9" s="1" t="str">
        <f>[1]Base!A9</f>
        <v>*Atlanta (USATL) (Inland- Via Charleston)</v>
      </c>
      <c r="B9" s="2">
        <v>6821</v>
      </c>
      <c r="C9" s="2">
        <v>7118</v>
      </c>
    </row>
    <row r="10" spans="1:3" x14ac:dyDescent="0.25">
      <c r="A10" s="1" t="str">
        <f>[1]Base!A10</f>
        <v>Auckland (NZAKL)</v>
      </c>
      <c r="B10" s="2">
        <v>4424</v>
      </c>
      <c r="C10" s="2">
        <v>4882</v>
      </c>
    </row>
    <row r="11" spans="1:3" x14ac:dyDescent="0.25">
      <c r="A11" s="1" t="str">
        <f>[1]Base!A11</f>
        <v>Baltimore (USBAL)</v>
      </c>
      <c r="B11" s="2">
        <v>4464</v>
      </c>
      <c r="C11" s="2">
        <v>4999</v>
      </c>
    </row>
    <row r="12" spans="1:3" x14ac:dyDescent="0.25">
      <c r="A12" s="1" t="str">
        <f>[1]Base!A12</f>
        <v>*Balboa (PABLB)</v>
      </c>
      <c r="B12" s="2">
        <v>7019</v>
      </c>
      <c r="C12" s="2">
        <v>7374</v>
      </c>
    </row>
    <row r="13" spans="1:3" x14ac:dyDescent="0.25">
      <c r="A13" s="1" t="str">
        <f>[1]Base!A13</f>
        <v>Barcelona (ESBCN)</v>
      </c>
      <c r="B13" s="2">
        <v>2934</v>
      </c>
      <c r="C13" s="2">
        <v>3412</v>
      </c>
    </row>
    <row r="14" spans="1:3" ht="30" x14ac:dyDescent="0.25">
      <c r="A14" s="1" t="str">
        <f>[1]Base!A14</f>
        <v>*BASSENS/GIRONDE (FRBAS)</v>
      </c>
      <c r="B14" s="2">
        <v>550</v>
      </c>
      <c r="C14" s="2">
        <v>4258</v>
      </c>
    </row>
    <row r="15" spans="1:3" x14ac:dyDescent="0.25">
      <c r="A15" s="1" t="str">
        <f>[1]Base!A15</f>
        <v>Bogota (COBOG)</v>
      </c>
      <c r="B15" s="2"/>
      <c r="C15" s="2"/>
    </row>
    <row r="16" spans="1:3" x14ac:dyDescent="0.25">
      <c r="A16" s="1" t="str">
        <f>[1]Base!A16</f>
        <v>Bremerhaven (DEBRV)</v>
      </c>
      <c r="B16" s="2">
        <v>2757</v>
      </c>
      <c r="C16" s="2">
        <v>3058</v>
      </c>
    </row>
    <row r="17" spans="1:3" x14ac:dyDescent="0.25">
      <c r="A17" s="1" t="str">
        <f>[1]Base!A17</f>
        <v>Brisbane (AUBNE)</v>
      </c>
      <c r="B17" s="2">
        <v>3624</v>
      </c>
      <c r="C17" s="2">
        <v>3832</v>
      </c>
    </row>
    <row r="18" spans="1:3" ht="45" x14ac:dyDescent="0.25">
      <c r="A18" s="1" t="str">
        <f>[1]Base!A18</f>
        <v>*Budapest (HUBUD) (Inland Rail - Via Hamburg)</v>
      </c>
      <c r="B18" s="2">
        <v>3402</v>
      </c>
      <c r="C18" s="2">
        <v>3969</v>
      </c>
    </row>
    <row r="19" spans="1:3" ht="30" x14ac:dyDescent="0.25">
      <c r="A19" s="1" t="str">
        <f>[1]Base!A19</f>
        <v>Buenaventura (COBUN)</v>
      </c>
      <c r="B19" s="2">
        <v>4692</v>
      </c>
      <c r="C19" s="2">
        <v>5516</v>
      </c>
    </row>
    <row r="20" spans="1:3" x14ac:dyDescent="0.25">
      <c r="A20" s="1" t="str">
        <f>[1]Base!A20</f>
        <v xml:space="preserve"> Busan, KR - (KRPUS)</v>
      </c>
      <c r="B20" s="2">
        <v>2391</v>
      </c>
      <c r="C20" s="2">
        <v>2681</v>
      </c>
    </row>
    <row r="21" spans="1:3" x14ac:dyDescent="0.25">
      <c r="A21" s="1" t="str">
        <f>[1]Base!A21</f>
        <v>*CAGLIARI (ITCAG)</v>
      </c>
      <c r="B21" s="2">
        <v>3684</v>
      </c>
      <c r="C21" s="2">
        <v>4562</v>
      </c>
    </row>
    <row r="22" spans="1:3" x14ac:dyDescent="0.25">
      <c r="A22" s="1" t="str">
        <f>[1]Base!A22</f>
        <v>Callao (PECLL)</v>
      </c>
      <c r="B22" s="2">
        <v>2922</v>
      </c>
      <c r="C22" s="2">
        <v>5348</v>
      </c>
    </row>
    <row r="23" spans="1:3" ht="30" x14ac:dyDescent="0.25">
      <c r="A23" s="1" t="str">
        <f>[1]Base!A23</f>
        <v>Cartagena Port Colombia (COCTG)</v>
      </c>
      <c r="B23" s="2">
        <v>4237</v>
      </c>
      <c r="C23" s="2">
        <v>4506</v>
      </c>
    </row>
    <row r="24" spans="1:3" x14ac:dyDescent="0.25">
      <c r="A24" s="1" t="str">
        <f>[1]Base!A24</f>
        <v>Casablanca</v>
      </c>
      <c r="B24" s="2">
        <v>3083</v>
      </c>
      <c r="C24" s="2">
        <v>3660</v>
      </c>
    </row>
    <row r="25" spans="1:3" x14ac:dyDescent="0.25">
      <c r="A25" s="1" t="str">
        <f>[1]Base!A25</f>
        <v>Caucedo (DOCAU)</v>
      </c>
      <c r="B25" s="2">
        <v>5427</v>
      </c>
      <c r="C25" s="2">
        <v>5786</v>
      </c>
    </row>
    <row r="26" spans="1:3" x14ac:dyDescent="0.25">
      <c r="A26" s="1" t="str">
        <f>[1]Base!A26</f>
        <v>Charleston (USCHS)</v>
      </c>
      <c r="B26" s="2">
        <v>6016</v>
      </c>
      <c r="C26" s="2">
        <v>6233</v>
      </c>
    </row>
    <row r="27" spans="1:3" ht="45" x14ac:dyDescent="0.25">
      <c r="A27" s="1" t="str">
        <f>[1]Base!A27</f>
        <v>*CHARLOTTE, NC (USCLT)  (Via Charleston)</v>
      </c>
      <c r="B27" s="2">
        <v>6818</v>
      </c>
      <c r="C27" s="2">
        <v>7115</v>
      </c>
    </row>
    <row r="28" spans="1:3" ht="30" x14ac:dyDescent="0.25">
      <c r="A28" s="1" t="str">
        <f>[1]Base!A28</f>
        <v>*Chicago, IL (USCHI) - (via NYC)</v>
      </c>
      <c r="B28" s="2">
        <v>6908</v>
      </c>
      <c r="C28" s="2">
        <v>7215</v>
      </c>
    </row>
    <row r="29" spans="1:3" x14ac:dyDescent="0.25">
      <c r="A29" s="1" t="str">
        <f>[1]Base!A29</f>
        <v>*Cleveland (USCLE)</v>
      </c>
      <c r="B29" s="2">
        <v>6998</v>
      </c>
      <c r="C29" s="2">
        <v>7315</v>
      </c>
    </row>
    <row r="30" spans="1:3" x14ac:dyDescent="0.25">
      <c r="A30" s="1" t="str">
        <f>[1]Base!A30</f>
        <v>Constanta (ROCND)</v>
      </c>
      <c r="B30" s="2">
        <v>3134</v>
      </c>
      <c r="C30" s="2">
        <v>3712</v>
      </c>
    </row>
    <row r="31" spans="1:3" x14ac:dyDescent="0.25">
      <c r="A31" s="1" t="str">
        <f>[1]Base!A31</f>
        <v>Copenhagen (DKCPH)</v>
      </c>
      <c r="B31" s="2">
        <v>3057</v>
      </c>
      <c r="C31" s="2">
        <v>4324</v>
      </c>
    </row>
    <row r="32" spans="1:3" ht="45" x14ac:dyDescent="0.25">
      <c r="A32" s="1" t="str">
        <f>[1]Base!A32</f>
        <v>*Dallas (USDAL) (inland incluido, via Houston)</v>
      </c>
      <c r="B32" s="2">
        <v>5887</v>
      </c>
      <c r="C32" s="2">
        <v>6104</v>
      </c>
    </row>
    <row r="33" spans="1:3" ht="30" x14ac:dyDescent="0.25">
      <c r="A33" s="1" t="str">
        <f>[1]Base!A33</f>
        <v>*Denver (USDEN) (Via Houston)</v>
      </c>
      <c r="B33" s="2">
        <v>6873</v>
      </c>
      <c r="C33" s="2">
        <v>9685</v>
      </c>
    </row>
    <row r="34" spans="1:3" x14ac:dyDescent="0.25">
      <c r="A34" s="1" t="str">
        <f>[1]Base!A34</f>
        <v>*Detroit (USDET)</v>
      </c>
      <c r="B34" s="2">
        <v>5998</v>
      </c>
      <c r="C34" s="2">
        <v>6315</v>
      </c>
    </row>
    <row r="35" spans="1:3" x14ac:dyDescent="0.25">
      <c r="A35" s="1" t="str">
        <f>[1]Base!A35</f>
        <v>Dublin (IEDUB)</v>
      </c>
      <c r="B35" s="2">
        <v>3867</v>
      </c>
      <c r="C35" s="2">
        <v>5027</v>
      </c>
    </row>
    <row r="36" spans="1:3" ht="60" x14ac:dyDescent="0.25">
      <c r="A36" s="1" t="str">
        <f>[1]Base!A36</f>
        <v>*Edmonton Terminal (via Panama / Vancouver / inland incluido) [USEDC KY]</v>
      </c>
      <c r="B36" s="2">
        <v>8968</v>
      </c>
      <c r="C36" s="2">
        <v>9429</v>
      </c>
    </row>
    <row r="37" spans="1:3" x14ac:dyDescent="0.25">
      <c r="A37" s="1" t="str">
        <f>[1]Base!A37</f>
        <v>*Estocolmo (SESTO)</v>
      </c>
      <c r="B37" s="2">
        <v>4283</v>
      </c>
      <c r="C37" s="2">
        <v>5459</v>
      </c>
    </row>
    <row r="38" spans="1:3" x14ac:dyDescent="0.25">
      <c r="A38" s="1" t="str">
        <f>[1]Base!A38</f>
        <v>Felixstowe (GBFXT)</v>
      </c>
      <c r="B38" s="2">
        <v>3729</v>
      </c>
      <c r="C38" s="2">
        <v>4742</v>
      </c>
    </row>
    <row r="39" spans="1:3" x14ac:dyDescent="0.25">
      <c r="A39" s="1" t="str">
        <f>[1]Base!A39</f>
        <v>Fos sur Mer (FRFOS)</v>
      </c>
      <c r="B39" s="2">
        <v>3014</v>
      </c>
      <c r="C39" s="2">
        <v>3612</v>
      </c>
    </row>
    <row r="40" spans="1:3" x14ac:dyDescent="0.25">
      <c r="A40" s="1" t="str">
        <f>[1]Base!A40</f>
        <v>Fremantle (AUFRE)</v>
      </c>
      <c r="B40" s="2">
        <v>4024</v>
      </c>
      <c r="C40" s="2">
        <v>4732</v>
      </c>
    </row>
    <row r="41" spans="1:3" x14ac:dyDescent="0.25">
      <c r="A41" s="1" t="str">
        <f>[1]Base!A41</f>
        <v>Genoa (ITGOA)</v>
      </c>
      <c r="B41" s="2">
        <v>2934</v>
      </c>
      <c r="C41" s="2">
        <v>3243</v>
      </c>
    </row>
    <row r="42" spans="1:3" x14ac:dyDescent="0.25">
      <c r="A42" s="1" t="str">
        <f>[1]Base!A42</f>
        <v>Gdynia (PLGDY)</v>
      </c>
      <c r="B42" s="2">
        <v>3141</v>
      </c>
      <c r="C42" s="2">
        <v>3426</v>
      </c>
    </row>
    <row r="43" spans="1:3" x14ac:dyDescent="0.25">
      <c r="A43" s="1" t="str">
        <f>[1]Base!A43</f>
        <v>Guayaquil (ECGYE)</v>
      </c>
      <c r="B43" s="2">
        <v>4833</v>
      </c>
      <c r="C43" s="2">
        <v>5348</v>
      </c>
    </row>
    <row r="44" spans="1:3" x14ac:dyDescent="0.25">
      <c r="A44" s="1" t="str">
        <f>[1]Base!A44</f>
        <v>Haifa (ILHFA)</v>
      </c>
      <c r="B44" s="2">
        <v>3276</v>
      </c>
      <c r="C44" s="2">
        <v>3896</v>
      </c>
    </row>
    <row r="45" spans="1:3" ht="30" x14ac:dyDescent="0.25">
      <c r="A45" s="1" t="str">
        <f>[1]Base!A45</f>
        <v>Halifax Port, Canada (via Cartagena)</v>
      </c>
      <c r="B45" s="2">
        <v>4633</v>
      </c>
      <c r="C45" s="2">
        <v>5798</v>
      </c>
    </row>
    <row r="46" spans="1:3" x14ac:dyDescent="0.25">
      <c r="A46" s="1" t="str">
        <f>[1]Base!A46</f>
        <v>Hamburg (DEHAM)</v>
      </c>
      <c r="B46" s="2">
        <v>2757</v>
      </c>
      <c r="C46" s="2">
        <v>3058</v>
      </c>
    </row>
    <row r="47" spans="1:3" x14ac:dyDescent="0.25">
      <c r="A47" s="1" t="str">
        <f>[1]Base!A47</f>
        <v>Houston (USHOU)</v>
      </c>
      <c r="B47" s="2">
        <v>5016</v>
      </c>
      <c r="C47" s="2">
        <v>5233</v>
      </c>
    </row>
    <row r="48" spans="1:3" x14ac:dyDescent="0.25">
      <c r="A48" s="1" t="str">
        <f>[1]Base!A48</f>
        <v>Incheon (KRINC)</v>
      </c>
      <c r="B48" s="2">
        <v>2351</v>
      </c>
      <c r="C48" s="2">
        <v>2681</v>
      </c>
    </row>
    <row r="49" spans="1:3" ht="30" x14ac:dyDescent="0.25">
      <c r="A49" s="1" t="str">
        <f>[1]Base!A49</f>
        <v>Jacksonville  FL (USJAX)</v>
      </c>
      <c r="B49" s="2">
        <v>6016</v>
      </c>
      <c r="C49" s="2">
        <v>6233</v>
      </c>
    </row>
    <row r="50" spans="1:3" x14ac:dyDescent="0.25">
      <c r="A50" s="1" t="str">
        <f>[1]Base!A50</f>
        <v>Jebel Ali (AEJEA)</v>
      </c>
      <c r="B50" s="2">
        <v>3730</v>
      </c>
      <c r="C50" s="2">
        <v>4292</v>
      </c>
    </row>
    <row r="51" spans="1:3" x14ac:dyDescent="0.25">
      <c r="A51" s="1" t="str">
        <f>[1]Base!A51</f>
        <v>Karachi (PKKHI)</v>
      </c>
      <c r="B51" s="2">
        <v>4673</v>
      </c>
      <c r="C51" s="2">
        <v>7660</v>
      </c>
    </row>
    <row r="52" spans="1:3" x14ac:dyDescent="0.25">
      <c r="A52" s="1" t="str">
        <f>[1]Base!A52</f>
        <v>Keelung (TWKEL)</v>
      </c>
      <c r="B52" s="2">
        <v>3303</v>
      </c>
      <c r="C52" s="2">
        <v>4013</v>
      </c>
    </row>
    <row r="53" spans="1:3" x14ac:dyDescent="0.25">
      <c r="A53" s="1" t="str">
        <f>[1]Base!A53</f>
        <v>Klang (MYPKG)</v>
      </c>
      <c r="B53" s="2">
        <v>3917</v>
      </c>
      <c r="C53" s="2">
        <v>4916</v>
      </c>
    </row>
    <row r="54" spans="1:3" x14ac:dyDescent="0.25">
      <c r="A54" s="1" t="str">
        <f>[1]Base!A54</f>
        <v>La Guaira  (VELAG)</v>
      </c>
      <c r="B54" s="2">
        <v>6512</v>
      </c>
      <c r="C54" s="2">
        <v>7209</v>
      </c>
    </row>
    <row r="55" spans="1:3" x14ac:dyDescent="0.25">
      <c r="A55" s="1" t="str">
        <f>[1]Base!A55</f>
        <v>Le Havre (FRLEH)</v>
      </c>
      <c r="B55" s="2">
        <v>2757</v>
      </c>
      <c r="C55" s="2">
        <v>3058</v>
      </c>
    </row>
    <row r="56" spans="1:3" x14ac:dyDescent="0.25">
      <c r="A56" s="1" t="str">
        <f>[1]Base!A56</f>
        <v>Leixões, Portugal</v>
      </c>
      <c r="B56" s="2">
        <v>2980</v>
      </c>
      <c r="C56" s="2"/>
    </row>
    <row r="57" spans="1:3" ht="30" x14ac:dyDescent="0.25">
      <c r="A57" s="1" t="str">
        <f>[1]Base!A57</f>
        <v>Lagos (NGLOS), Nigeria</v>
      </c>
      <c r="B57" s="2">
        <v>550</v>
      </c>
      <c r="C57" s="2">
        <v>700</v>
      </c>
    </row>
    <row r="58" spans="1:3" x14ac:dyDescent="0.25">
      <c r="A58" s="1" t="str">
        <f>[1]Base!A58</f>
        <v>Lisboa (PTLIS)</v>
      </c>
      <c r="B58" s="2">
        <v>2984</v>
      </c>
      <c r="C58" s="2">
        <v>3562</v>
      </c>
    </row>
    <row r="59" spans="1:3" x14ac:dyDescent="0.25">
      <c r="A59" s="1" t="str">
        <f>[1]Base!A59</f>
        <v>Lyttelton (NZLYT)</v>
      </c>
      <c r="B59" s="2">
        <v>4624</v>
      </c>
      <c r="C59" s="2">
        <v>5282</v>
      </c>
    </row>
    <row r="60" spans="1:3" x14ac:dyDescent="0.25">
      <c r="A60" s="1" t="str">
        <f>[1]Base!A60</f>
        <v>Livorno (ITLIV)</v>
      </c>
      <c r="B60" s="2">
        <v>2684</v>
      </c>
      <c r="C60" s="2">
        <v>3143</v>
      </c>
    </row>
    <row r="61" spans="1:3" x14ac:dyDescent="0.25">
      <c r="A61" s="1" t="str">
        <f>[1]Base!A61</f>
        <v>Louisville, KY</v>
      </c>
      <c r="B61" s="2">
        <v>4991</v>
      </c>
      <c r="C61" s="2">
        <v>5321</v>
      </c>
    </row>
    <row r="62" spans="1:3" ht="30" x14ac:dyDescent="0.25">
      <c r="A62" s="1" t="str">
        <f>[1]Base!A62</f>
        <v>London Gateway (GBLGP)</v>
      </c>
      <c r="B62" s="2">
        <v>2726</v>
      </c>
      <c r="C62" s="2">
        <v>2996</v>
      </c>
    </row>
    <row r="63" spans="1:3" ht="60" x14ac:dyDescent="0.25">
      <c r="A63" s="1" t="str">
        <f>[1]Base!A63</f>
        <v>*Long Beach CA.(USLGB) Inland incluido, Via Los Angeles</v>
      </c>
      <c r="B63" s="2">
        <v>5911</v>
      </c>
      <c r="C63" s="2">
        <v>6307</v>
      </c>
    </row>
    <row r="64" spans="1:3" x14ac:dyDescent="0.25">
      <c r="A64" s="1" t="str">
        <f>[1]Base!A64</f>
        <v>Los Angeles (USLAX)</v>
      </c>
      <c r="B64" s="2">
        <v>5195</v>
      </c>
      <c r="C64" s="2">
        <v>5591</v>
      </c>
    </row>
    <row r="65" spans="1:3" x14ac:dyDescent="0.25">
      <c r="A65" s="1" t="str">
        <f>[1]Base!A65</f>
        <v>*Louisiana (USLUA)</v>
      </c>
      <c r="B65" s="2">
        <v>7574</v>
      </c>
      <c r="C65" s="2">
        <v>7961</v>
      </c>
    </row>
    <row r="66" spans="1:3" ht="30" x14ac:dyDescent="0.25">
      <c r="A66" s="1" t="str">
        <f>[1]Base!A66</f>
        <v>*Madrid (ESMAD) (Via Valencia - Inland)</v>
      </c>
      <c r="B66" s="2">
        <v>3414</v>
      </c>
      <c r="C66" s="2">
        <v>3892</v>
      </c>
    </row>
    <row r="67" spans="1:3" x14ac:dyDescent="0.25">
      <c r="A67" s="1" t="str">
        <f>[1]Base!A67</f>
        <v>Malaga (ESAGP)</v>
      </c>
      <c r="B67" s="2">
        <v>4408</v>
      </c>
      <c r="C67" s="2">
        <v>5400</v>
      </c>
    </row>
    <row r="68" spans="1:3" ht="45" x14ac:dyDescent="0.25">
      <c r="A68" s="1" t="str">
        <f>[1]Base!A68</f>
        <v>Malmo (inland) (Puerto de descarga: Helsingborg)</v>
      </c>
      <c r="B68" s="2">
        <v>3364</v>
      </c>
      <c r="C68" s="2">
        <v>3736</v>
      </c>
    </row>
    <row r="69" spans="1:3" x14ac:dyDescent="0.25">
      <c r="A69" s="1" t="str">
        <f>[1]Base!A69</f>
        <v>Manila (PHMNL)</v>
      </c>
      <c r="B69" s="2">
        <v>2757</v>
      </c>
      <c r="C69" s="2">
        <v>3066</v>
      </c>
    </row>
    <row r="70" spans="1:3" x14ac:dyDescent="0.25">
      <c r="A70" s="1" t="str">
        <f>[1]Base!A70</f>
        <v>Manzanillo (PAMIT)</v>
      </c>
      <c r="B70" s="2">
        <v>5427</v>
      </c>
      <c r="C70" s="2">
        <v>5786</v>
      </c>
    </row>
    <row r="71" spans="1:3" ht="30" x14ac:dyDescent="0.25">
      <c r="A71" s="1" t="str">
        <f>[1]Base!A71</f>
        <v>Manzanillo (MXZLO) (México)</v>
      </c>
      <c r="B71" s="2">
        <v>6105</v>
      </c>
      <c r="C71" s="2">
        <v>7964</v>
      </c>
    </row>
    <row r="72" spans="1:3" x14ac:dyDescent="0.25">
      <c r="A72" s="1" t="str">
        <f>[1]Base!A72</f>
        <v>Melbourne</v>
      </c>
      <c r="B72" s="2">
        <v>2588</v>
      </c>
      <c r="C72" s="2">
        <v>2815</v>
      </c>
    </row>
    <row r="73" spans="1:3" ht="45" x14ac:dyDescent="0.25">
      <c r="A73" s="1" t="str">
        <f>[1]Base!A73</f>
        <v>*Miami, FL (USMIA) (inland incluido, via Everglades)</v>
      </c>
      <c r="B73" s="2">
        <v>6532</v>
      </c>
      <c r="C73" s="2">
        <v>6749</v>
      </c>
    </row>
    <row r="74" spans="1:3" x14ac:dyDescent="0.25">
      <c r="A74" s="1" t="str">
        <f>[1]Base!A74</f>
        <v>*Milan (ITMIL)</v>
      </c>
      <c r="B74" s="2"/>
      <c r="C74" s="2">
        <v>4012</v>
      </c>
    </row>
    <row r="75" spans="1:3" ht="30" x14ac:dyDescent="0.25">
      <c r="A75" s="1" t="str">
        <f>[1]Base!A75</f>
        <v>Montoir DE BRETAGNE (FRMTX)</v>
      </c>
      <c r="B75" s="2">
        <v>3591</v>
      </c>
      <c r="C75" s="2">
        <v>4715</v>
      </c>
    </row>
    <row r="76" spans="1:3" ht="30" x14ac:dyDescent="0.25">
      <c r="A76" s="1" t="str">
        <f>[1]Base!A76</f>
        <v>Montreal Port, CA (CAMTR)</v>
      </c>
      <c r="B76" s="2">
        <v>6016</v>
      </c>
      <c r="C76" s="2">
        <v>6233</v>
      </c>
    </row>
    <row r="77" spans="1:3" ht="30" x14ac:dyDescent="0.25">
      <c r="A77" s="1" t="str">
        <f>[1]Base!A77</f>
        <v>Nairobi Terminal  (KENBO)</v>
      </c>
      <c r="B77" s="2">
        <v>3500</v>
      </c>
      <c r="C77" s="2">
        <v>4521</v>
      </c>
    </row>
    <row r="78" spans="1:3" ht="30" x14ac:dyDescent="0.25">
      <c r="A78" s="1" t="str">
        <f>[1]Base!A78</f>
        <v>*Napoles NAPLES (ITNAP)</v>
      </c>
      <c r="B78" s="2">
        <v>3084</v>
      </c>
      <c r="C78" s="2">
        <v>4212</v>
      </c>
    </row>
    <row r="79" spans="1:3" ht="45" x14ac:dyDescent="0.25">
      <c r="A79" s="1" t="str">
        <f>[1]Base!A79</f>
        <v>Nassau Bahamas NEW PROVIDENCE ISLAND (BSNAS)</v>
      </c>
      <c r="B79" s="2">
        <v>10194</v>
      </c>
      <c r="C79" s="2">
        <v>11910</v>
      </c>
    </row>
    <row r="80" spans="1:3" ht="30" x14ac:dyDescent="0.25">
      <c r="A80" s="1" t="str">
        <f>[1]Base!A80</f>
        <v>*New Delhi , India via Mundra (INDEL)</v>
      </c>
      <c r="B80" s="2">
        <v>6680</v>
      </c>
      <c r="C80" s="2">
        <v>8752</v>
      </c>
    </row>
    <row r="81" spans="1:3" x14ac:dyDescent="0.25">
      <c r="A81" s="1" t="str">
        <f>[1]Base!A81</f>
        <v>New Orleans (USMSY)</v>
      </c>
      <c r="B81" s="2">
        <v>5016</v>
      </c>
      <c r="C81" s="2">
        <v>5233</v>
      </c>
    </row>
    <row r="82" spans="1:3" x14ac:dyDescent="0.25">
      <c r="A82" s="1" t="str">
        <f>[1]Base!A82</f>
        <v>New York (USNYC)</v>
      </c>
      <c r="B82" s="2">
        <v>6016</v>
      </c>
      <c r="C82" s="2">
        <v>6233</v>
      </c>
    </row>
    <row r="83" spans="1:3" x14ac:dyDescent="0.25">
      <c r="A83" s="1" t="str">
        <f>[1]Base!A83</f>
        <v>Norfolk (USORF)</v>
      </c>
      <c r="B83" s="2">
        <v>6016</v>
      </c>
      <c r="C83" s="2">
        <v>6233</v>
      </c>
    </row>
    <row r="84" spans="1:3" ht="30" x14ac:dyDescent="0.25">
      <c r="A84" s="1" t="str">
        <f>[1]Base!A84</f>
        <v>*Oakland (USOAK) (inland - via Houston)</v>
      </c>
      <c r="B84" s="2">
        <v>6934</v>
      </c>
      <c r="C84" s="2">
        <v>7451</v>
      </c>
    </row>
    <row r="85" spans="1:3" x14ac:dyDescent="0.25">
      <c r="A85" s="1" t="str">
        <f>[1]Base!A85</f>
        <v>Onne (NGONN)</v>
      </c>
      <c r="B85" s="2">
        <v>7210</v>
      </c>
      <c r="C85" s="2">
        <v>8429</v>
      </c>
    </row>
    <row r="86" spans="1:3" x14ac:dyDescent="0.25">
      <c r="A86" s="1" t="str">
        <f>[1]Base!A86</f>
        <v>Oslo</v>
      </c>
      <c r="B86" s="2">
        <v>3674</v>
      </c>
      <c r="C86" s="2">
        <v>4442</v>
      </c>
    </row>
    <row r="87" spans="1:3" x14ac:dyDescent="0.25">
      <c r="A87" s="1" t="str">
        <f>[1]Base!A87</f>
        <v xml:space="preserve">*Panama city (PAPTY) </v>
      </c>
      <c r="B87" s="2">
        <v>6007</v>
      </c>
      <c r="C87" s="2">
        <v>6366</v>
      </c>
    </row>
    <row r="88" spans="1:3" ht="30" x14ac:dyDescent="0.25">
      <c r="A88" s="1" t="str">
        <f>[1]Base!A88</f>
        <v>*Perth (AUPER) Via Fremantle</v>
      </c>
      <c r="B88" s="2">
        <v>4462</v>
      </c>
      <c r="C88" s="2">
        <v>700</v>
      </c>
    </row>
    <row r="89" spans="1:3" ht="30" x14ac:dyDescent="0.25">
      <c r="A89" s="1" t="str">
        <f>[1]Base!A89</f>
        <v>*Pittsburgh, PA (USPIT)(inland)</v>
      </c>
      <c r="B89" s="2">
        <v>7369</v>
      </c>
      <c r="C89" s="2">
        <v>7680</v>
      </c>
    </row>
    <row r="90" spans="1:3" ht="45" x14ac:dyDescent="0.25">
      <c r="A90" s="1" t="str">
        <f>[1]Base!A90</f>
        <v xml:space="preserve"> *Portland  OR (USPDX) (inland incluido)</v>
      </c>
      <c r="B90" s="2">
        <v>6016</v>
      </c>
      <c r="C90" s="2">
        <v>6233</v>
      </c>
    </row>
    <row r="91" spans="1:3" ht="30" x14ac:dyDescent="0.25">
      <c r="A91" s="1" t="str">
        <f>[1]Base!A91</f>
        <v>Port Everglades (USPEF)</v>
      </c>
      <c r="B91" s="2">
        <v>6016</v>
      </c>
      <c r="C91" s="2">
        <v>6233</v>
      </c>
    </row>
    <row r="92" spans="1:3" ht="30" x14ac:dyDescent="0.25">
      <c r="A92" s="1" t="str">
        <f>[1]Base!A92</f>
        <v>*Prague (CZPRG) (via Hamburg)</v>
      </c>
      <c r="B92" s="2">
        <v>3757</v>
      </c>
      <c r="C92" s="2">
        <v>4158</v>
      </c>
    </row>
    <row r="93" spans="1:3" ht="60" x14ac:dyDescent="0.25">
      <c r="A93" s="1" t="str">
        <f>[1]Base!A93</f>
        <v>Puerto de Lanzarote, Islas Canarias (Arrecife de lanzarote)</v>
      </c>
      <c r="B93" s="2">
        <v>4708</v>
      </c>
      <c r="C93" s="2">
        <v>5800</v>
      </c>
    </row>
    <row r="94" spans="1:3" ht="30" x14ac:dyDescent="0.25">
      <c r="A94" s="1" t="str">
        <f>[1]Base!A94</f>
        <v>Puerto Barrios (GTPBR)</v>
      </c>
      <c r="B94" s="2">
        <v>5465</v>
      </c>
      <c r="C94" s="2">
        <v>5824</v>
      </c>
    </row>
    <row r="95" spans="1:3" ht="30" x14ac:dyDescent="0.25">
      <c r="A95" s="1" t="str">
        <f>[1]Base!A95</f>
        <v>Puerto Cortes  (HNPCR)</v>
      </c>
      <c r="B95" s="2">
        <v>5436</v>
      </c>
      <c r="C95" s="2">
        <v>5795</v>
      </c>
    </row>
    <row r="96" spans="1:3" x14ac:dyDescent="0.25">
      <c r="A96" s="1" t="str">
        <f>[1]Base!A96</f>
        <v>Puerto Moin (CRPMN)</v>
      </c>
      <c r="B96" s="2">
        <v>5054</v>
      </c>
      <c r="C96" s="2">
        <v>5503</v>
      </c>
    </row>
    <row r="97" spans="1:3" x14ac:dyDescent="0.25">
      <c r="A97" s="1" t="str">
        <f>[1]Base!A97</f>
        <v>Puerto Limon (CRLIO)</v>
      </c>
      <c r="B97" s="2">
        <v>4188</v>
      </c>
      <c r="C97" s="2">
        <v>4708</v>
      </c>
    </row>
    <row r="98" spans="1:3" x14ac:dyDescent="0.25">
      <c r="A98" s="1" t="str">
        <f>[1]Base!A98</f>
        <v>Rabat</v>
      </c>
      <c r="B98" s="2">
        <v>3760</v>
      </c>
      <c r="C98" s="2">
        <v>3960</v>
      </c>
    </row>
    <row r="99" spans="1:3" x14ac:dyDescent="0.25">
      <c r="A99" s="1" t="str">
        <f>[1]Base!A99</f>
        <v>Rio de Janeiro (BRRIO)</v>
      </c>
      <c r="B99" s="2">
        <v>2527</v>
      </c>
      <c r="C99" s="2">
        <v>2821</v>
      </c>
    </row>
    <row r="100" spans="1:3" x14ac:dyDescent="0.25">
      <c r="A100" s="1" t="str">
        <f>[1]Base!A100</f>
        <v>Riyadh (SARUH)</v>
      </c>
      <c r="B100" s="2">
        <v>3730</v>
      </c>
      <c r="C100" s="2">
        <v>4292</v>
      </c>
    </row>
    <row r="101" spans="1:3" ht="30" x14ac:dyDescent="0.25">
      <c r="A101" s="1" t="str">
        <f>[1]Base!A101</f>
        <v>*Roma (ITRMX) (via Salerno)</v>
      </c>
      <c r="B101" s="2">
        <v>2365</v>
      </c>
      <c r="C101" s="2">
        <v>2586</v>
      </c>
    </row>
    <row r="102" spans="1:3" x14ac:dyDescent="0.25">
      <c r="A102" s="1" t="str">
        <f>[1]Base!A102</f>
        <v>Rotterdam (NLRTM)</v>
      </c>
      <c r="B102" s="2">
        <v>2757</v>
      </c>
      <c r="C102" s="2">
        <v>3058</v>
      </c>
    </row>
    <row r="103" spans="1:3" x14ac:dyDescent="0.25">
      <c r="A103" s="1" t="str">
        <f>[1]Base!A103</f>
        <v>Salvador (BRSSA)</v>
      </c>
      <c r="B103" s="2">
        <v>2476</v>
      </c>
      <c r="C103" s="2">
        <v>2328</v>
      </c>
    </row>
    <row r="104" spans="1:3" ht="30" x14ac:dyDescent="0.25">
      <c r="A104" s="1" t="str">
        <f>[1]Base!A104</f>
        <v>*Santiago (CLSCL) (inland)</v>
      </c>
      <c r="B104" s="2">
        <v>5308</v>
      </c>
      <c r="C104" s="2">
        <v>5823</v>
      </c>
    </row>
    <row r="105" spans="1:3" x14ac:dyDescent="0.25">
      <c r="A105" s="1" t="str">
        <f>[1]Base!A105</f>
        <v>Santos (BRSSZ)</v>
      </c>
      <c r="B105" s="2">
        <v>2115</v>
      </c>
      <c r="C105" s="2">
        <v>2445</v>
      </c>
    </row>
    <row r="106" spans="1:3" x14ac:dyDescent="0.25">
      <c r="A106" s="1" t="str">
        <f>[1]Base!A106</f>
        <v>San Antonio (CLSAI)</v>
      </c>
      <c r="B106" s="2">
        <v>4833</v>
      </c>
      <c r="C106" s="2">
        <v>5348</v>
      </c>
    </row>
    <row r="107" spans="1:3" ht="30" x14ac:dyDescent="0.25">
      <c r="A107" s="1" t="str">
        <f>[1]Base!A107</f>
        <v>Santa Cruz Tenerife (ESSCT)</v>
      </c>
      <c r="B107" s="2">
        <v>2256</v>
      </c>
      <c r="C107" s="2">
        <v>3697</v>
      </c>
    </row>
    <row r="108" spans="1:3" ht="45" x14ac:dyDescent="0.25">
      <c r="A108" s="1" t="str">
        <f>[1]Base!A108</f>
        <v>*Santo Domingo (Inland incluido) via Caucedo (DOSDQ)</v>
      </c>
      <c r="B108" s="2">
        <v>5737</v>
      </c>
      <c r="C108" s="2">
        <v>6096</v>
      </c>
    </row>
    <row r="109" spans="1:3" ht="45" x14ac:dyDescent="0.25">
      <c r="A109" s="1" t="str">
        <f>[1]Base!A109</f>
        <v>*San Jose CR (CRSJO) (inland) (via Puerto Limon)</v>
      </c>
      <c r="B109" s="2">
        <v>5997</v>
      </c>
      <c r="C109" s="2">
        <v>6356</v>
      </c>
    </row>
    <row r="110" spans="1:3" x14ac:dyDescent="0.25">
      <c r="A110" s="1" t="str">
        <f>[1]Base!A110</f>
        <v>San Juan (PRSJU)</v>
      </c>
      <c r="B110" s="2">
        <v>5465</v>
      </c>
      <c r="C110" s="2">
        <v>5824</v>
      </c>
    </row>
    <row r="111" spans="1:3" ht="30" x14ac:dyDescent="0.25">
      <c r="A111" s="1" t="str">
        <f>[1]Base!A111</f>
        <v>*Santo Tomas De Castilla (GTSTC)</v>
      </c>
      <c r="B111" s="2">
        <v>5875</v>
      </c>
      <c r="C111" s="2">
        <v>6234</v>
      </c>
    </row>
    <row r="112" spans="1:3" x14ac:dyDescent="0.25">
      <c r="A112" s="1" t="str">
        <f>[1]Base!A112</f>
        <v>SUAPE (BRSUA)</v>
      </c>
      <c r="B112" s="2">
        <v>2997</v>
      </c>
      <c r="C112" s="2">
        <v>3826</v>
      </c>
    </row>
    <row r="113" spans="1:3" x14ac:dyDescent="0.25">
      <c r="A113" s="1" t="str">
        <f>[1]Base!A113</f>
        <v>*Savannah (USSAV)</v>
      </c>
      <c r="B113" s="2">
        <v>6952</v>
      </c>
      <c r="C113" s="2">
        <v>7169</v>
      </c>
    </row>
    <row r="114" spans="1:3" x14ac:dyDescent="0.25">
      <c r="A114" s="1" t="str">
        <f>[1]Base!A114</f>
        <v>*Seatlle (USSEA)</v>
      </c>
      <c r="B114" s="2">
        <v>9514</v>
      </c>
      <c r="C114" s="2">
        <v>10184</v>
      </c>
    </row>
    <row r="115" spans="1:3" x14ac:dyDescent="0.25">
      <c r="A115" s="1" t="str">
        <f>[1]Base!A115</f>
        <v>Shanghai (CNSHA)</v>
      </c>
      <c r="B115" s="2">
        <v>2682</v>
      </c>
      <c r="C115" s="2">
        <v>3158</v>
      </c>
    </row>
    <row r="116" spans="1:3" x14ac:dyDescent="0.25">
      <c r="A116" s="1" t="str">
        <f>[1]Base!A116</f>
        <v>Shuwaikh (KWSWK)</v>
      </c>
      <c r="B116" s="2">
        <v>5172</v>
      </c>
      <c r="C116" s="2">
        <v>6686</v>
      </c>
    </row>
    <row r="117" spans="1:3" x14ac:dyDescent="0.25">
      <c r="A117" s="1" t="str">
        <f>[1]Base!A117</f>
        <v>Singapore (SGSIN)</v>
      </c>
      <c r="B117" s="2">
        <v>2644</v>
      </c>
      <c r="C117" s="2">
        <v>3120</v>
      </c>
    </row>
    <row r="118" spans="1:3" ht="30" x14ac:dyDescent="0.25">
      <c r="A118" s="1" t="str">
        <f>[1]Base!A118</f>
        <v>Southampton (GBSOU)</v>
      </c>
      <c r="B118" s="2">
        <v>3529</v>
      </c>
      <c r="C118" s="2">
        <v>4242</v>
      </c>
    </row>
    <row r="119" spans="1:3" x14ac:dyDescent="0.25">
      <c r="A119" s="1" t="str">
        <f>[1]Base!A119</f>
        <v>Sydney (AUSYD)</v>
      </c>
      <c r="B119" s="2">
        <v>3424</v>
      </c>
      <c r="C119" s="2">
        <v>3832</v>
      </c>
    </row>
    <row r="120" spans="1:3" x14ac:dyDescent="0.25">
      <c r="A120" s="1" t="str">
        <f>[1]Base!A120</f>
        <v>Tauranga  (NZTRG)</v>
      </c>
      <c r="B120" s="2">
        <v>4424</v>
      </c>
      <c r="C120" s="2">
        <v>4882</v>
      </c>
    </row>
    <row r="121" spans="1:3" ht="45" x14ac:dyDescent="0.25">
      <c r="A121" s="1" t="str">
        <f>[1]Base!A121</f>
        <v>*Toronto Terminal (inland - via New York) (USTOD)</v>
      </c>
      <c r="B121" s="2">
        <v>7508</v>
      </c>
      <c r="C121" s="2">
        <v>7819</v>
      </c>
    </row>
    <row r="122" spans="1:3" x14ac:dyDescent="0.25">
      <c r="A122" s="1" t="str">
        <f>[1]Base!A122</f>
        <v>Valencia (ESVLC)</v>
      </c>
      <c r="B122" s="2">
        <v>2934</v>
      </c>
      <c r="C122" s="2">
        <v>3390</v>
      </c>
    </row>
    <row r="123" spans="1:3" ht="30" x14ac:dyDescent="0.25">
      <c r="A123" s="1" t="str">
        <f>[1]Base!A123</f>
        <v>Vancouver (CAVAN) (via Paraná)</v>
      </c>
      <c r="B123" s="2">
        <v>7707</v>
      </c>
      <c r="C123" s="2">
        <v>8005</v>
      </c>
    </row>
    <row r="124" spans="1:3" x14ac:dyDescent="0.25">
      <c r="A124" s="1" t="str">
        <f>[1]Base!A124</f>
        <v>Venecia</v>
      </c>
      <c r="B124" s="2">
        <v>2923</v>
      </c>
      <c r="C124" s="2">
        <v>3390</v>
      </c>
    </row>
    <row r="125" spans="1:3" x14ac:dyDescent="0.25">
      <c r="A125" s="1" t="str">
        <f>[1]Base!A125</f>
        <v>Veracruz (MXVER)</v>
      </c>
      <c r="B125" s="2">
        <v>4665</v>
      </c>
      <c r="C125" s="2">
        <v>4584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Facundo Lastra</dc:creator>
  <cp:lastModifiedBy>Facundo Lastra</cp:lastModifiedBy>
  <dcterms:created xsi:type="dcterms:W3CDTF">2015-06-05T18:19:34Z</dcterms:created>
  <dcterms:modified xsi:type="dcterms:W3CDTF">2025-11-06T17:02:30Z</dcterms:modified>
</cp:coreProperties>
</file>